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\Desktop\"/>
    </mc:Choice>
  </mc:AlternateContent>
  <xr:revisionPtr revIDLastSave="0" documentId="8_{8BD43A88-3AF8-4036-B566-30B25F7B6040}" xr6:coauthVersionLast="47" xr6:coauthVersionMax="47" xr10:uidLastSave="{00000000-0000-0000-0000-000000000000}"/>
  <bookViews>
    <workbookView xWindow="-120" yWindow="-120" windowWidth="29040" windowHeight="15720" activeTab="1" xr2:uid="{0B11D310-D8A4-46B5-B356-E5EC26ABA52E}"/>
  </bookViews>
  <sheets>
    <sheet name="Principal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2" l="1"/>
  <c r="P32" i="2"/>
  <c r="P29" i="2"/>
  <c r="P28" i="2"/>
  <c r="P26" i="2"/>
  <c r="P25" i="2"/>
  <c r="P23" i="2"/>
  <c r="P22" i="2"/>
  <c r="P21" i="2"/>
  <c r="P19" i="2"/>
  <c r="P18" i="2"/>
  <c r="P17" i="2"/>
  <c r="P15" i="2"/>
  <c r="P13" i="2"/>
  <c r="P11" i="2"/>
  <c r="P8" i="2"/>
  <c r="P6" i="2"/>
  <c r="P5" i="2"/>
  <c r="N5" i="1"/>
  <c r="N7" i="1"/>
  <c r="N10" i="1"/>
  <c r="N12" i="1"/>
  <c r="N14" i="1"/>
  <c r="N16" i="1"/>
  <c r="N17" i="1"/>
  <c r="N18" i="1"/>
  <c r="N20" i="1"/>
  <c r="N21" i="1"/>
  <c r="N22" i="1"/>
  <c r="N24" i="1"/>
  <c r="N25" i="1"/>
  <c r="N27" i="1"/>
  <c r="N28" i="1"/>
  <c r="N31" i="1"/>
  <c r="N3" i="1"/>
  <c r="N4" i="1"/>
</calcChain>
</file>

<file path=xl/sharedStrings.xml><?xml version="1.0" encoding="utf-8"?>
<sst xmlns="http://schemas.openxmlformats.org/spreadsheetml/2006/main" count="727" uniqueCount="396">
  <si>
    <t>Fecha de Nacimiento</t>
  </si>
  <si>
    <t>Cantidad</t>
  </si>
  <si>
    <t>Ciudad</t>
  </si>
  <si>
    <t>Total</t>
  </si>
  <si>
    <t>mediano,grande</t>
  </si>
  <si>
    <t>brownie</t>
  </si>
  <si>
    <t>Bogota</t>
  </si>
  <si>
    <t>Calle 45 #12-30</t>
  </si>
  <si>
    <t>fresas mágicas</t>
  </si>
  <si>
    <t>grande</t>
  </si>
  <si>
    <t>Carrera 10 #25-18</t>
  </si>
  <si>
    <t>fresas mágicas con helado</t>
  </si>
  <si>
    <t>mediano</t>
  </si>
  <si>
    <t>Calle 63 #18-45</t>
  </si>
  <si>
    <t>arequipe</t>
  </si>
  <si>
    <t>Carrera 68 #42-15</t>
  </si>
  <si>
    <t>leche condensada</t>
  </si>
  <si>
    <t>Calle 80 #23-10</t>
  </si>
  <si>
    <t>creppe</t>
  </si>
  <si>
    <t>Carrera 30 #15-27</t>
  </si>
  <si>
    <t>oreo</t>
  </si>
  <si>
    <t>Calle 100 #8-22</t>
  </si>
  <si>
    <t>fresa</t>
  </si>
  <si>
    <t>Carrera 15 #60-35</t>
  </si>
  <si>
    <t>helado fresa</t>
  </si>
  <si>
    <t>mango</t>
  </si>
  <si>
    <t>Calle 72 #40-16</t>
  </si>
  <si>
    <t>maracuyada</t>
  </si>
  <si>
    <t>banano</t>
  </si>
  <si>
    <t>Carrera 50 #32-12</t>
  </si>
  <si>
    <t>nicolas.herrera@gmail.com</t>
  </si>
  <si>
    <t>pequeño</t>
  </si>
  <si>
    <t>Calle 25 #14-08</t>
  </si>
  <si>
    <t>Carrera 7 #80-25</t>
  </si>
  <si>
    <t>mateo.jimenez@gmail.com</t>
  </si>
  <si>
    <t>Calle 52 #20-14</t>
  </si>
  <si>
    <t>isabella.moreno@gmail.com</t>
  </si>
  <si>
    <t>Carrera 23 #45-19</t>
  </si>
  <si>
    <t>santiago.diaz@gmail.com</t>
  </si>
  <si>
    <t>raspado</t>
  </si>
  <si>
    <t>Calle 91 #16-32</t>
  </si>
  <si>
    <t>mariana.silva@gmail.com</t>
  </si>
  <si>
    <t>cholado</t>
  </si>
  <si>
    <t>Carrera 40 #27-11</t>
  </si>
  <si>
    <t>david.cardenas@gmail.com</t>
  </si>
  <si>
    <t>bananada</t>
  </si>
  <si>
    <t>Calle 34 #55-20</t>
  </si>
  <si>
    <t>Carrera 60 #18-42</t>
  </si>
  <si>
    <t>alejandro.ortiz@gmail.com</t>
  </si>
  <si>
    <t>malteada (helado) vainilla</t>
  </si>
  <si>
    <t>Calle 67 #30-15</t>
  </si>
  <si>
    <t>gabriela.navarro@gmail.com</t>
  </si>
  <si>
    <t>jugo natural mora</t>
  </si>
  <si>
    <t>Carrera 12 #70-26</t>
  </si>
  <si>
    <t>daniel.sanchez@gmail.com</t>
  </si>
  <si>
    <t>fresas con chocolate</t>
  </si>
  <si>
    <t>Calle 48 #22-17</t>
  </si>
  <si>
    <t>paula.mendoza@gmail.com</t>
  </si>
  <si>
    <t>Carrera 35 #12-40</t>
  </si>
  <si>
    <t>miguel.arias@gmail.com</t>
  </si>
  <si>
    <t>granizado frutos rojos</t>
  </si>
  <si>
    <t>Calle 75 #19-28</t>
  </si>
  <si>
    <t>sara.molina@gmail.com</t>
  </si>
  <si>
    <t>Carrera 18 #52-09</t>
  </si>
  <si>
    <t>esteban.guerrero@gmail.com</t>
  </si>
  <si>
    <t>Calle 60 #33-18</t>
  </si>
  <si>
    <t>juliana.pena@gmail.com</t>
  </si>
  <si>
    <t>Carrera 45 #28-31</t>
  </si>
  <si>
    <t>tomas.acosta@gmail.com</t>
  </si>
  <si>
    <t>Calle 85 #10-23</t>
  </si>
  <si>
    <t>manuela.pardo@gmail.com</t>
  </si>
  <si>
    <t>Carrera 25 #63-16</t>
  </si>
  <si>
    <t>jorge.beltran@gmail.com</t>
  </si>
  <si>
    <t>Calle 42 #75-12</t>
  </si>
  <si>
    <t>ana.salazar@gmail.com</t>
  </si>
  <si>
    <t>Carrera 55 #35-24</t>
  </si>
  <si>
    <t>Nombre</t>
  </si>
  <si>
    <t xml:space="preserve">Juan Perez </t>
  </si>
  <si>
    <t>Laura Gómez</t>
  </si>
  <si>
    <t>Documento</t>
  </si>
  <si>
    <t>Telefono</t>
  </si>
  <si>
    <t>Correo</t>
  </si>
  <si>
    <t>Producto</t>
  </si>
  <si>
    <t>Tamaño</t>
  </si>
  <si>
    <t>Dirección</t>
  </si>
  <si>
    <t>Valor Producto</t>
  </si>
  <si>
    <t>CC 1001234567</t>
  </si>
  <si>
    <t>CC 1002345678</t>
  </si>
  <si>
    <t>Carlos  Rodriguez</t>
  </si>
  <si>
    <t>CC 1003456789</t>
  </si>
  <si>
    <t>Maria Martínez</t>
  </si>
  <si>
    <t>CC 1004567890</t>
  </si>
  <si>
    <t>Andrés López</t>
  </si>
  <si>
    <t>CC 1005678901</t>
  </si>
  <si>
    <t>Daniela Torres</t>
  </si>
  <si>
    <t>CC 1006789012</t>
  </si>
  <si>
    <t xml:space="preserve">Sebastian Ramirez </t>
  </si>
  <si>
    <t>CC 1007890123</t>
  </si>
  <si>
    <t>Valentina Castro</t>
  </si>
  <si>
    <t>CC 1008901234</t>
  </si>
  <si>
    <t>Felipe Moreno</t>
  </si>
  <si>
    <t>CC 1009012345</t>
  </si>
  <si>
    <t>Camila Vargas</t>
  </si>
  <si>
    <t>CC 1010123456</t>
  </si>
  <si>
    <t xml:space="preserve">juan.perez@gmail.com </t>
  </si>
  <si>
    <t xml:space="preserve">laura.gomez@gmail.com </t>
  </si>
  <si>
    <t xml:space="preserve">carlos.rodriguez@gmail.com </t>
  </si>
  <si>
    <t xml:space="preserve">maria.martinez@gmail.com </t>
  </si>
  <si>
    <t xml:space="preserve">andres.lopez@gmail.com </t>
  </si>
  <si>
    <t xml:space="preserve">daniela.torres@gmail.com </t>
  </si>
  <si>
    <t xml:space="preserve">sebastian.ramirez@gmail.com </t>
  </si>
  <si>
    <t xml:space="preserve">valentina.castro@gmail.com </t>
  </si>
  <si>
    <t xml:space="preserve">felipe.moreno@gmail.com </t>
  </si>
  <si>
    <t xml:space="preserve">camila.vargas@gmail.com </t>
  </si>
  <si>
    <t xml:space="preserve">Nicolas Herrera </t>
  </si>
  <si>
    <t>CC 1011234567</t>
  </si>
  <si>
    <t>cerezada</t>
  </si>
  <si>
    <t>Sofia Rojas</t>
  </si>
  <si>
    <t>CC 1012345678</t>
  </si>
  <si>
    <t>Mateo Jimenez</t>
  </si>
  <si>
    <t>CC 1013456789</t>
  </si>
  <si>
    <t xml:space="preserve">frappé </t>
  </si>
  <si>
    <t>Isabella Moreno</t>
  </si>
  <si>
    <t>CC 1014567890</t>
  </si>
  <si>
    <t>Santiago Diaz</t>
  </si>
  <si>
    <t>CC 1015678901</t>
  </si>
  <si>
    <t>Mariana Silva</t>
  </si>
  <si>
    <t>CC 1016789012</t>
  </si>
  <si>
    <t xml:space="preserve">David Cardenas </t>
  </si>
  <si>
    <t>CC 1017890123</t>
  </si>
  <si>
    <t>Natalia Restrepo</t>
  </si>
  <si>
    <t>CC 1018901234</t>
  </si>
  <si>
    <t>Alejandro Ortiz</t>
  </si>
  <si>
    <t>CC 1019012345</t>
  </si>
  <si>
    <t>Gabriela Navarro</t>
  </si>
  <si>
    <t>CC 1020123456</t>
  </si>
  <si>
    <t>Daniela Sanchez</t>
  </si>
  <si>
    <t>CC 1021234567</t>
  </si>
  <si>
    <t>Paula Mendoza</t>
  </si>
  <si>
    <t>CC 1022345678</t>
  </si>
  <si>
    <t xml:space="preserve">Miguel Arias </t>
  </si>
  <si>
    <t>CC 1023456789</t>
  </si>
  <si>
    <t>Sara Molina</t>
  </si>
  <si>
    <t>CC 1024567890</t>
  </si>
  <si>
    <t>Esteban Guerrero</t>
  </si>
  <si>
    <t>CC 1025678901</t>
  </si>
  <si>
    <t>Juliana Peña</t>
  </si>
  <si>
    <t>CC 1026789012</t>
  </si>
  <si>
    <t>Tomas Acosta</t>
  </si>
  <si>
    <t>CC 1027890123</t>
  </si>
  <si>
    <t>Manuela Pardo</t>
  </si>
  <si>
    <t>CC 1028901234</t>
  </si>
  <si>
    <t>Jorge Beltran</t>
  </si>
  <si>
    <t>CC 1029012345</t>
  </si>
  <si>
    <t xml:space="preserve">Ana Salazar </t>
  </si>
  <si>
    <t>CC 1030123456</t>
  </si>
  <si>
    <t xml:space="preserve">sofia.rojas@gmail.com </t>
  </si>
  <si>
    <t>fresas con chocolate pequeño</t>
  </si>
  <si>
    <t>fresas con chocolate mediano</t>
  </si>
  <si>
    <t>fresas con chocolate grande</t>
  </si>
  <si>
    <t>fresas mágicas pequeño</t>
  </si>
  <si>
    <t xml:space="preserve">fresas mágicas mediano </t>
  </si>
  <si>
    <t>fresas mágicas grande</t>
  </si>
  <si>
    <t>fresas mágicas con helado pequeño</t>
  </si>
  <si>
    <t>fresas mágicas con helado mediano</t>
  </si>
  <si>
    <t xml:space="preserve">fresas mágicas con helado grande </t>
  </si>
  <si>
    <t>granizado maracuya grande</t>
  </si>
  <si>
    <t>granizado maracuya pequeño</t>
  </si>
  <si>
    <t>granizado maracuya mediano</t>
  </si>
  <si>
    <t>granizado mango pequeño</t>
  </si>
  <si>
    <t>granizado mango mediano</t>
  </si>
  <si>
    <t>granizado mango grande</t>
  </si>
  <si>
    <t>granizado frutos rojos pequeño</t>
  </si>
  <si>
    <t>granizado frutos rojos mediano</t>
  </si>
  <si>
    <t>granizado frutos rojos grande</t>
  </si>
  <si>
    <t>sodificadas maracuya pequeño</t>
  </si>
  <si>
    <t>sodificadas maracuya mediano</t>
  </si>
  <si>
    <t>sodificadas maracuya grande</t>
  </si>
  <si>
    <t>sodificadas mango pequeño</t>
  </si>
  <si>
    <t>sodificadas mango grande</t>
  </si>
  <si>
    <t>sodificadas mango mediano</t>
  </si>
  <si>
    <t>sodificadas frutos rojos pequeño</t>
  </si>
  <si>
    <t>sodificadas frutos rojos mediano</t>
  </si>
  <si>
    <t>sodificadas frutos rojos grande</t>
  </si>
  <si>
    <t>waffle pequeño</t>
  </si>
  <si>
    <t>waffle mediano</t>
  </si>
  <si>
    <t>waffle grande</t>
  </si>
  <si>
    <t>creppe grande</t>
  </si>
  <si>
    <t>creppe mediano</t>
  </si>
  <si>
    <t>creppe pequeño</t>
  </si>
  <si>
    <t>michelada pequeño</t>
  </si>
  <si>
    <t>michelada mediano</t>
  </si>
  <si>
    <t>michelada grande</t>
  </si>
  <si>
    <t>lulada pequeño</t>
  </si>
  <si>
    <t>lulada mediano</t>
  </si>
  <si>
    <t>lulada grande</t>
  </si>
  <si>
    <t>maracuyada pequeño</t>
  </si>
  <si>
    <t>maracuyada mediano</t>
  </si>
  <si>
    <t>maracuyada grande</t>
  </si>
  <si>
    <t>cerezada pequeño</t>
  </si>
  <si>
    <t>cerezada mediano</t>
  </si>
  <si>
    <t>cerezada grande</t>
  </si>
  <si>
    <t>limonada coco pequeño</t>
  </si>
  <si>
    <t>limonada coco mediano</t>
  </si>
  <si>
    <t>limonada coco grande</t>
  </si>
  <si>
    <t>frappe pequeño</t>
  </si>
  <si>
    <t>frappe mediano</t>
  </si>
  <si>
    <t>frappe grande</t>
  </si>
  <si>
    <t>jugo en leche mora pequeño</t>
  </si>
  <si>
    <t>jugo en leche mora mediano</t>
  </si>
  <si>
    <t>jugo en leche mora grande</t>
  </si>
  <si>
    <t>jugo en leche fresa pequeño</t>
  </si>
  <si>
    <t>jugo en leche fresa mediano</t>
  </si>
  <si>
    <t>jugo en leche fresa grande</t>
  </si>
  <si>
    <t>jugo en leche guanabana pequeño</t>
  </si>
  <si>
    <t>jugo en leche guanabana mediano</t>
  </si>
  <si>
    <t>jugo en leche guanabana grande</t>
  </si>
  <si>
    <t>jugo en leche lulo pequeño</t>
  </si>
  <si>
    <t>jugo en leche lulo mediano</t>
  </si>
  <si>
    <t>jugo en leche lulo grande</t>
  </si>
  <si>
    <t>jugo natural mora pequeño</t>
  </si>
  <si>
    <t>jugo natural mora mediano</t>
  </si>
  <si>
    <t>jugo natural mora grande</t>
  </si>
  <si>
    <t>jugo natural fresa pequeño</t>
  </si>
  <si>
    <t>jugo natural fresa mediano</t>
  </si>
  <si>
    <t>jugo natural fresa grande</t>
  </si>
  <si>
    <t>jugo natural guanabana pequeño</t>
  </si>
  <si>
    <t>jugo natural guanabana mediano</t>
  </si>
  <si>
    <t>jugo natural guanabana grande</t>
  </si>
  <si>
    <t>jugo natural lulo pequeño</t>
  </si>
  <si>
    <t>jugo natural lulo mediano</t>
  </si>
  <si>
    <t>jugo natural lulo grande</t>
  </si>
  <si>
    <t>malteada (helado) fresa pequeño</t>
  </si>
  <si>
    <t>malteada (helado) fresa grande</t>
  </si>
  <si>
    <t>malteada (helado) fresa mediano</t>
  </si>
  <si>
    <t>malteada (helado) vainilla pequeño</t>
  </si>
  <si>
    <t>malteada (helado) vainilla mediano</t>
  </si>
  <si>
    <t>malteada (helado) vainilla grande</t>
  </si>
  <si>
    <t>malteada (helado) chocolate pequeño</t>
  </si>
  <si>
    <t>malteada (helado) chocolate mediano</t>
  </si>
  <si>
    <t>malteada (helado) chocolate grande</t>
  </si>
  <si>
    <t>malteada (helado) chicle pequeño</t>
  </si>
  <si>
    <t>malteada (helado) chicle mediano</t>
  </si>
  <si>
    <t>malteada (helado) chicle grande</t>
  </si>
  <si>
    <t>maracumango pequeño</t>
  </si>
  <si>
    <t>maracumango grande</t>
  </si>
  <si>
    <t>maracumango mediano</t>
  </si>
  <si>
    <t>bananada pequeño</t>
  </si>
  <si>
    <t>bananada mediano</t>
  </si>
  <si>
    <t>bananada grande</t>
  </si>
  <si>
    <t>cholado pequeño</t>
  </si>
  <si>
    <t>cholado mediano</t>
  </si>
  <si>
    <t>cholado grande</t>
  </si>
  <si>
    <t>helado fresa pequeño</t>
  </si>
  <si>
    <t>helado fresa mediano</t>
  </si>
  <si>
    <t>helado fresa grande</t>
  </si>
  <si>
    <t>helado vainilla pequeño</t>
  </si>
  <si>
    <t>helado vainilla mediano</t>
  </si>
  <si>
    <t>helado vainilla grande</t>
  </si>
  <si>
    <t>helado chocolate pequeño</t>
  </si>
  <si>
    <t>helado chocolate mediano</t>
  </si>
  <si>
    <t>helado chocolate grande</t>
  </si>
  <si>
    <t>helado chicle pequeño</t>
  </si>
  <si>
    <t>helado chicle mediano</t>
  </si>
  <si>
    <t>helado chicle grande</t>
  </si>
  <si>
    <t>raspado pequeño</t>
  </si>
  <si>
    <t>raspado mediano</t>
  </si>
  <si>
    <t>raspado grande</t>
  </si>
  <si>
    <t>fresas con chocolate,granizado mango</t>
  </si>
  <si>
    <t>toppings</t>
  </si>
  <si>
    <t>chispas de colores</t>
  </si>
  <si>
    <t>crema oreo</t>
  </si>
  <si>
    <t>galleta chocolate</t>
  </si>
  <si>
    <t>enrollado</t>
  </si>
  <si>
    <t>Chantilly</t>
  </si>
  <si>
    <t>Nutella</t>
  </si>
  <si>
    <t>granola</t>
  </si>
  <si>
    <t>coco rallado</t>
  </si>
  <si>
    <t>nueces</t>
  </si>
  <si>
    <t>waffle,sodificadas mango</t>
  </si>
  <si>
    <t>malteada (helado) chocolate, wafle, creppe</t>
  </si>
  <si>
    <t>2,2,2</t>
  </si>
  <si>
    <t>jugo natural guanabana, jugo natural lulo</t>
  </si>
  <si>
    <t xml:space="preserve">natalia.restrepo@gmail.com </t>
  </si>
  <si>
    <t>maracuyada, cerezada</t>
  </si>
  <si>
    <t>limonada de coco,helado vainilla</t>
  </si>
  <si>
    <t>jugo en leche guanabana, fresas magicas</t>
  </si>
  <si>
    <t>2,3,4,7,1</t>
  </si>
  <si>
    <t>waffle,sodificadas mango,raspado,helado chicle,fresas magicas</t>
  </si>
  <si>
    <t>helado chocolate,helado vainilla</t>
  </si>
  <si>
    <t>jugo en leche guanabana, jugo en leche mora</t>
  </si>
  <si>
    <t>cholado,raspado</t>
  </si>
  <si>
    <t>grande,mediano,pequeño</t>
  </si>
  <si>
    <t>mediano,mediano</t>
  </si>
  <si>
    <t>mediano,pequeño</t>
  </si>
  <si>
    <t>grande,mediano</t>
  </si>
  <si>
    <t>grande,grande</t>
  </si>
  <si>
    <t>grande,pequeño</t>
  </si>
  <si>
    <t>grande,mediano,mediano,pequeño, pequeño</t>
  </si>
  <si>
    <t>brownie,chispas de colores</t>
  </si>
  <si>
    <t>nutella</t>
  </si>
  <si>
    <t>chantilly,mango</t>
  </si>
  <si>
    <t>granola,leche condensada, nutella</t>
  </si>
  <si>
    <t>nueces,coco rallado</t>
  </si>
  <si>
    <t>oreo,enrollado</t>
  </si>
  <si>
    <t>coco rallado,chispas de chocolate</t>
  </si>
  <si>
    <t>limonada de coco,sodificadas maracuya</t>
  </si>
  <si>
    <t>fresa,nueces</t>
  </si>
  <si>
    <t>galletas de chocolate</t>
  </si>
  <si>
    <t>enrollado,fresa,chantilly,nutella,chispas de colores</t>
  </si>
  <si>
    <t>fresas,mango</t>
  </si>
  <si>
    <t>crema oreo,arequipe</t>
  </si>
  <si>
    <t>Toppings</t>
  </si>
  <si>
    <t>Valor Topping</t>
  </si>
  <si>
    <t>20.000 , 22.000</t>
  </si>
  <si>
    <t>2.500 , 1.000</t>
  </si>
  <si>
    <t>23.000 , 19.000</t>
  </si>
  <si>
    <t>1.500 , 2.000</t>
  </si>
  <si>
    <t xml:space="preserve">23.000 , 23.000 , 20.000 </t>
  </si>
  <si>
    <t>1.500 , 1.500 , 2.000</t>
  </si>
  <si>
    <t>15.000 , 15.000</t>
  </si>
  <si>
    <t>14.000 , 14.000</t>
  </si>
  <si>
    <t>1.500 , 1.000</t>
  </si>
  <si>
    <t>17.000 , 20.000</t>
  </si>
  <si>
    <t>1.000 , 1.000</t>
  </si>
  <si>
    <t>19.000 , 26.000</t>
  </si>
  <si>
    <t>17.000 , 15.000</t>
  </si>
  <si>
    <t>2.000 , 1.500</t>
  </si>
  <si>
    <t>25.000 , 17.000 , 14.000 , 15.000 , 20.000</t>
  </si>
  <si>
    <t>1.000 , 2.000 , 1.500 , 2.000 , 1.000</t>
  </si>
  <si>
    <t>20.000 , 20.000</t>
  </si>
  <si>
    <t>2.000 , 2.000</t>
  </si>
  <si>
    <t>18.000 , 16.000</t>
  </si>
  <si>
    <t>Juan</t>
  </si>
  <si>
    <t>Perez</t>
  </si>
  <si>
    <t>Laura</t>
  </si>
  <si>
    <t>Gómez</t>
  </si>
  <si>
    <t>Carlos</t>
  </si>
  <si>
    <t>Rodriguez</t>
  </si>
  <si>
    <t>Maria</t>
  </si>
  <si>
    <t>Martínez</t>
  </si>
  <si>
    <t>Andrés</t>
  </si>
  <si>
    <t>López</t>
  </si>
  <si>
    <t>Daniela</t>
  </si>
  <si>
    <t>Torres</t>
  </si>
  <si>
    <t>Sebastian</t>
  </si>
  <si>
    <t>Ramirez</t>
  </si>
  <si>
    <t>Valentina</t>
  </si>
  <si>
    <t>Castro</t>
  </si>
  <si>
    <t>Felipe</t>
  </si>
  <si>
    <t>Moreno</t>
  </si>
  <si>
    <t>Camila</t>
  </si>
  <si>
    <t>Vargas</t>
  </si>
  <si>
    <t>Nicolas</t>
  </si>
  <si>
    <t>Herrera</t>
  </si>
  <si>
    <t>Sofia</t>
  </si>
  <si>
    <t>Rojas</t>
  </si>
  <si>
    <t>Mateo</t>
  </si>
  <si>
    <t>Jimenez</t>
  </si>
  <si>
    <t>Isabella</t>
  </si>
  <si>
    <t>Santiago</t>
  </si>
  <si>
    <t>Diaz</t>
  </si>
  <si>
    <t>Mariana</t>
  </si>
  <si>
    <t>Silva</t>
  </si>
  <si>
    <t>David</t>
  </si>
  <si>
    <t>Cardenas</t>
  </si>
  <si>
    <t>Natalia</t>
  </si>
  <si>
    <t>Restrepo</t>
  </si>
  <si>
    <t>Alejandro</t>
  </si>
  <si>
    <t>Ortiz</t>
  </si>
  <si>
    <t>Gabriela</t>
  </si>
  <si>
    <t>Navarro</t>
  </si>
  <si>
    <t>Sanchez</t>
  </si>
  <si>
    <t>Paula</t>
  </si>
  <si>
    <t>Mendoza</t>
  </si>
  <si>
    <t>Miguel</t>
  </si>
  <si>
    <t>Arias</t>
  </si>
  <si>
    <t>Sara</t>
  </si>
  <si>
    <t>Molina</t>
  </si>
  <si>
    <t>Esteban</t>
  </si>
  <si>
    <t>Guerrero</t>
  </si>
  <si>
    <t>Juliana</t>
  </si>
  <si>
    <t>Peña</t>
  </si>
  <si>
    <t>Tomas</t>
  </si>
  <si>
    <t>Acosta</t>
  </si>
  <si>
    <t>Manuela</t>
  </si>
  <si>
    <t>Pardo</t>
  </si>
  <si>
    <t>Jorge</t>
  </si>
  <si>
    <t>Beltran</t>
  </si>
  <si>
    <t>Ana</t>
  </si>
  <si>
    <t>Salazar</t>
  </si>
  <si>
    <t>CC</t>
  </si>
  <si>
    <t>Tipo de Documento</t>
  </si>
  <si>
    <t>Apellido</t>
  </si>
  <si>
    <t>Numero Documento</t>
  </si>
  <si>
    <t>granizado 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</si>
</sst>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5A6BD"/>
        <bgColor rgb="FFD5A6BD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4" fontId="3" fillId="0" borderId="0" applyFont="0" applyFill="0" applyBorder="0" applyAlignment="0" applyProtection="0"/>
  </cellStyleXfs>
  <cellXfs count="3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2" fillId="0" borderId="1" xfId="1" applyBorder="1"/>
    <xf numFmtId="0" fontId="1" fillId="2" borderId="1" xfId="0" applyFont="1" applyFill="1" applyBorder="1"/>
    <xf numFmtId="0" fontId="4" fillId="0" borderId="2" xfId="0" applyFont="1" applyBorder="1"/>
    <xf numFmtId="164" fontId="4" fillId="0" borderId="2" xfId="2" applyNumberFormat="1" applyFont="1" applyBorder="1" applyAlignment="1">
      <alignment horizontal="right"/>
    </xf>
    <xf numFmtId="0" fontId="4" fillId="3" borderId="2" xfId="0" applyFont="1" applyFill="1" applyBorder="1"/>
    <xf numFmtId="164" fontId="4" fillId="3" borderId="2" xfId="2" applyNumberFormat="1" applyFont="1" applyFill="1" applyBorder="1" applyAlignment="1">
      <alignment horizontal="right"/>
    </xf>
    <xf numFmtId="0" fontId="4" fillId="4" borderId="2" xfId="0" applyFont="1" applyFill="1" applyBorder="1"/>
    <xf numFmtId="164" fontId="4" fillId="4" borderId="2" xfId="2" applyNumberFormat="1" applyFont="1" applyFill="1" applyBorder="1" applyAlignment="1">
      <alignment horizontal="right"/>
    </xf>
    <xf numFmtId="0" fontId="4" fillId="5" borderId="2" xfId="0" applyFont="1" applyFill="1" applyBorder="1"/>
    <xf numFmtId="164" fontId="4" fillId="5" borderId="2" xfId="2" applyNumberFormat="1" applyFont="1" applyFill="1" applyBorder="1" applyAlignment="1">
      <alignment horizontal="right"/>
    </xf>
    <xf numFmtId="0" fontId="4" fillId="6" borderId="2" xfId="0" applyFont="1" applyFill="1" applyBorder="1"/>
    <xf numFmtId="164" fontId="4" fillId="6" borderId="2" xfId="2" applyNumberFormat="1" applyFont="1" applyFill="1" applyBorder="1" applyAlignment="1">
      <alignment horizontal="right"/>
    </xf>
    <xf numFmtId="0" fontId="4" fillId="7" borderId="2" xfId="0" applyFont="1" applyFill="1" applyBorder="1"/>
    <xf numFmtId="164" fontId="4" fillId="7" borderId="2" xfId="2" applyNumberFormat="1" applyFont="1" applyFill="1" applyBorder="1" applyAlignment="1">
      <alignment horizontal="right"/>
    </xf>
    <xf numFmtId="164" fontId="4" fillId="0" borderId="2" xfId="2" applyNumberFormat="1" applyFont="1" applyFill="1" applyBorder="1" applyAlignment="1">
      <alignment horizontal="right"/>
    </xf>
    <xf numFmtId="0" fontId="4" fillId="8" borderId="3" xfId="0" applyFont="1" applyFill="1" applyBorder="1"/>
    <xf numFmtId="0" fontId="4" fillId="0" borderId="1" xfId="0" applyFont="1" applyBorder="1" applyAlignment="1">
      <alignment horizontal="left"/>
    </xf>
    <xf numFmtId="164" fontId="0" fillId="0" borderId="1" xfId="2" applyNumberFormat="1" applyFont="1" applyBorder="1"/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right"/>
    </xf>
    <xf numFmtId="0" fontId="0" fillId="0" borderId="4" xfId="0" applyFill="1" applyBorder="1"/>
    <xf numFmtId="0" fontId="0" fillId="0" borderId="1" xfId="2" applyNumberFormat="1" applyFont="1" applyBorder="1" applyAlignment="1">
      <alignment horizontal="center"/>
    </xf>
    <xf numFmtId="3" fontId="0" fillId="0" borderId="1" xfId="2" applyNumberFormat="1" applyFont="1" applyBorder="1" applyAlignment="1">
      <alignment horizontal="center"/>
    </xf>
    <xf numFmtId="0" fontId="0" fillId="0" borderId="0" xfId="0" applyFill="1" applyBorder="1"/>
    <xf numFmtId="0" fontId="4" fillId="0" borderId="0" xfId="0" applyFont="1" applyFill="1" applyBorder="1"/>
    <xf numFmtId="164" fontId="4" fillId="0" borderId="0" xfId="2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/>
    </xf>
    <xf numFmtId="164" fontId="0" fillId="0" borderId="0" xfId="2" applyNumberFormat="1" applyFont="1" applyFill="1" applyBorder="1"/>
    <xf numFmtId="0" fontId="5" fillId="0" borderId="0" xfId="0" applyFont="1" applyFill="1" applyBorder="1" applyAlignment="1">
      <alignment horizontal="left" vertical="center"/>
    </xf>
    <xf numFmtId="0" fontId="0" fillId="0" borderId="1" xfId="0" applyBorder="1" applyAlignment="1">
      <alignment wrapText="1"/>
    </xf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alentina.castro@gmail.com%20" TargetMode="External"/><Relationship Id="rId13" Type="http://schemas.openxmlformats.org/officeDocument/2006/relationships/hyperlink" Target="mailto:sofia.rojas@gmail.com%20" TargetMode="External"/><Relationship Id="rId18" Type="http://schemas.openxmlformats.org/officeDocument/2006/relationships/hyperlink" Target="mailto:natalia.restrepo@gmail.com%20" TargetMode="External"/><Relationship Id="rId26" Type="http://schemas.openxmlformats.org/officeDocument/2006/relationships/hyperlink" Target="mailto:juliana.pena@gmail.com" TargetMode="External"/><Relationship Id="rId3" Type="http://schemas.openxmlformats.org/officeDocument/2006/relationships/hyperlink" Target="mailto:carlos.rodriguez@gmail.com%20" TargetMode="External"/><Relationship Id="rId21" Type="http://schemas.openxmlformats.org/officeDocument/2006/relationships/hyperlink" Target="mailto:daniel.sanchez@gmail.com" TargetMode="External"/><Relationship Id="rId7" Type="http://schemas.openxmlformats.org/officeDocument/2006/relationships/hyperlink" Target="mailto:sebastian.ramirez@gmail.com%20" TargetMode="External"/><Relationship Id="rId12" Type="http://schemas.openxmlformats.org/officeDocument/2006/relationships/hyperlink" Target="mailto:mateo.jimenez@gmail.com" TargetMode="External"/><Relationship Id="rId17" Type="http://schemas.openxmlformats.org/officeDocument/2006/relationships/hyperlink" Target="mailto:david.cardenas@gmail.com" TargetMode="External"/><Relationship Id="rId25" Type="http://schemas.openxmlformats.org/officeDocument/2006/relationships/hyperlink" Target="mailto:esteban.guerrero@gmail.com" TargetMode="External"/><Relationship Id="rId2" Type="http://schemas.openxmlformats.org/officeDocument/2006/relationships/hyperlink" Target="mailto:laura.gomez@gmail.com%20" TargetMode="External"/><Relationship Id="rId16" Type="http://schemas.openxmlformats.org/officeDocument/2006/relationships/hyperlink" Target="mailto:mariana.silva@gmail.com" TargetMode="External"/><Relationship Id="rId20" Type="http://schemas.openxmlformats.org/officeDocument/2006/relationships/hyperlink" Target="mailto:gabriela.navarro@gmail.com" TargetMode="External"/><Relationship Id="rId29" Type="http://schemas.openxmlformats.org/officeDocument/2006/relationships/hyperlink" Target="mailto:jorge.beltran@gmail.com" TargetMode="External"/><Relationship Id="rId1" Type="http://schemas.openxmlformats.org/officeDocument/2006/relationships/hyperlink" Target="mailto:juan.perez@gmail.com%20" TargetMode="External"/><Relationship Id="rId6" Type="http://schemas.openxmlformats.org/officeDocument/2006/relationships/hyperlink" Target="mailto:daniela.torres@gmail.com%20" TargetMode="External"/><Relationship Id="rId11" Type="http://schemas.openxmlformats.org/officeDocument/2006/relationships/hyperlink" Target="mailto:nicolas.herrera@gmail.com" TargetMode="External"/><Relationship Id="rId24" Type="http://schemas.openxmlformats.org/officeDocument/2006/relationships/hyperlink" Target="mailto:sara.molina@gmail.com" TargetMode="External"/><Relationship Id="rId5" Type="http://schemas.openxmlformats.org/officeDocument/2006/relationships/hyperlink" Target="mailto:andres.lopez@gmail.com%20" TargetMode="External"/><Relationship Id="rId15" Type="http://schemas.openxmlformats.org/officeDocument/2006/relationships/hyperlink" Target="mailto:isabella.moreno@gmail.com" TargetMode="External"/><Relationship Id="rId23" Type="http://schemas.openxmlformats.org/officeDocument/2006/relationships/hyperlink" Target="mailto:miguel.arias@gmail.com" TargetMode="External"/><Relationship Id="rId28" Type="http://schemas.openxmlformats.org/officeDocument/2006/relationships/hyperlink" Target="mailto:manuela.pardo@gmail.com" TargetMode="External"/><Relationship Id="rId10" Type="http://schemas.openxmlformats.org/officeDocument/2006/relationships/hyperlink" Target="mailto:camila.vargas@gmail.com%20" TargetMode="External"/><Relationship Id="rId19" Type="http://schemas.openxmlformats.org/officeDocument/2006/relationships/hyperlink" Target="mailto:alejandro.ortiz@gmail.com" TargetMode="External"/><Relationship Id="rId4" Type="http://schemas.openxmlformats.org/officeDocument/2006/relationships/hyperlink" Target="mailto:maria.martinez@gmail.com%20" TargetMode="External"/><Relationship Id="rId9" Type="http://schemas.openxmlformats.org/officeDocument/2006/relationships/hyperlink" Target="mailto:felipe.moreno@gmail.com%20" TargetMode="External"/><Relationship Id="rId14" Type="http://schemas.openxmlformats.org/officeDocument/2006/relationships/hyperlink" Target="mailto:santiago.diaz@gmail.com" TargetMode="External"/><Relationship Id="rId22" Type="http://schemas.openxmlformats.org/officeDocument/2006/relationships/hyperlink" Target="mailto:paula.mendoza@gmail.com" TargetMode="External"/><Relationship Id="rId27" Type="http://schemas.openxmlformats.org/officeDocument/2006/relationships/hyperlink" Target="mailto:tomas.acosta@gmail.com" TargetMode="External"/><Relationship Id="rId30" Type="http://schemas.openxmlformats.org/officeDocument/2006/relationships/hyperlink" Target="mailto:ana.salazar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felipe.moreno@gmail.com%20" TargetMode="External"/><Relationship Id="rId13" Type="http://schemas.openxmlformats.org/officeDocument/2006/relationships/hyperlink" Target="mailto:santiago.diaz@gmail.com" TargetMode="External"/><Relationship Id="rId18" Type="http://schemas.openxmlformats.org/officeDocument/2006/relationships/hyperlink" Target="mailto:alejandro.ortiz@gmail.com" TargetMode="External"/><Relationship Id="rId26" Type="http://schemas.openxmlformats.org/officeDocument/2006/relationships/hyperlink" Target="mailto:tomas.acosta@gmail.com" TargetMode="External"/><Relationship Id="rId3" Type="http://schemas.openxmlformats.org/officeDocument/2006/relationships/hyperlink" Target="mailto:maria.martinez@gmail.com%20" TargetMode="External"/><Relationship Id="rId21" Type="http://schemas.openxmlformats.org/officeDocument/2006/relationships/hyperlink" Target="mailto:paula.mendoza@gmail.com" TargetMode="External"/><Relationship Id="rId7" Type="http://schemas.openxmlformats.org/officeDocument/2006/relationships/hyperlink" Target="mailto:valentina.castro@gmail.com%20" TargetMode="External"/><Relationship Id="rId12" Type="http://schemas.openxmlformats.org/officeDocument/2006/relationships/hyperlink" Target="mailto:sofia.rojas@gmail.com%20" TargetMode="External"/><Relationship Id="rId17" Type="http://schemas.openxmlformats.org/officeDocument/2006/relationships/hyperlink" Target="mailto:natalia.restrepo@gmail.com%20" TargetMode="External"/><Relationship Id="rId25" Type="http://schemas.openxmlformats.org/officeDocument/2006/relationships/hyperlink" Target="mailto:juliana.pena@gmail.com" TargetMode="External"/><Relationship Id="rId2" Type="http://schemas.openxmlformats.org/officeDocument/2006/relationships/hyperlink" Target="mailto:carlos.rodriguez@gmail.com%20" TargetMode="External"/><Relationship Id="rId16" Type="http://schemas.openxmlformats.org/officeDocument/2006/relationships/hyperlink" Target="mailto:david.cardenas@gmail.com" TargetMode="External"/><Relationship Id="rId20" Type="http://schemas.openxmlformats.org/officeDocument/2006/relationships/hyperlink" Target="mailto:daniel.sanchez@gmail.com" TargetMode="External"/><Relationship Id="rId29" Type="http://schemas.openxmlformats.org/officeDocument/2006/relationships/hyperlink" Target="mailto:ana.salazar@gmail.com" TargetMode="External"/><Relationship Id="rId1" Type="http://schemas.openxmlformats.org/officeDocument/2006/relationships/hyperlink" Target="mailto:juan.perez@gmail.com%20" TargetMode="External"/><Relationship Id="rId6" Type="http://schemas.openxmlformats.org/officeDocument/2006/relationships/hyperlink" Target="mailto:sebastian.ramirez@gmail.com%20" TargetMode="External"/><Relationship Id="rId11" Type="http://schemas.openxmlformats.org/officeDocument/2006/relationships/hyperlink" Target="mailto:mateo.jimenez@gmail.com" TargetMode="External"/><Relationship Id="rId24" Type="http://schemas.openxmlformats.org/officeDocument/2006/relationships/hyperlink" Target="mailto:esteban.guerrero@gmail.com" TargetMode="External"/><Relationship Id="rId5" Type="http://schemas.openxmlformats.org/officeDocument/2006/relationships/hyperlink" Target="mailto:daniela.torres@gmail.com%20" TargetMode="External"/><Relationship Id="rId15" Type="http://schemas.openxmlformats.org/officeDocument/2006/relationships/hyperlink" Target="mailto:mariana.silva@gmail.com" TargetMode="External"/><Relationship Id="rId23" Type="http://schemas.openxmlformats.org/officeDocument/2006/relationships/hyperlink" Target="mailto:sara.molina@gmail.com" TargetMode="External"/><Relationship Id="rId28" Type="http://schemas.openxmlformats.org/officeDocument/2006/relationships/hyperlink" Target="mailto:jorge.beltran@gmail.com" TargetMode="External"/><Relationship Id="rId10" Type="http://schemas.openxmlformats.org/officeDocument/2006/relationships/hyperlink" Target="mailto:nicolas.herrera@gmail.com" TargetMode="External"/><Relationship Id="rId19" Type="http://schemas.openxmlformats.org/officeDocument/2006/relationships/hyperlink" Target="mailto:gabriela.navarro@gmail.com" TargetMode="External"/><Relationship Id="rId31" Type="http://schemas.openxmlformats.org/officeDocument/2006/relationships/hyperlink" Target="mailto:juan.perez@gmail.com%20" TargetMode="External"/><Relationship Id="rId4" Type="http://schemas.openxmlformats.org/officeDocument/2006/relationships/hyperlink" Target="mailto:andres.lopez@gmail.com%20" TargetMode="External"/><Relationship Id="rId9" Type="http://schemas.openxmlformats.org/officeDocument/2006/relationships/hyperlink" Target="mailto:camila.vargas@gmail.com%20" TargetMode="External"/><Relationship Id="rId14" Type="http://schemas.openxmlformats.org/officeDocument/2006/relationships/hyperlink" Target="mailto:isabella.moreno@gmail.com" TargetMode="External"/><Relationship Id="rId22" Type="http://schemas.openxmlformats.org/officeDocument/2006/relationships/hyperlink" Target="mailto:miguel.arias@gmail.com" TargetMode="External"/><Relationship Id="rId27" Type="http://schemas.openxmlformats.org/officeDocument/2006/relationships/hyperlink" Target="mailto:manuela.pardo@gmail.com" TargetMode="External"/><Relationship Id="rId30" Type="http://schemas.openxmlformats.org/officeDocument/2006/relationships/hyperlink" Target="mailto:laura.gomez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5785B-CC1E-4E30-8770-6BE0A14BA50B}">
  <dimension ref="A1:N145"/>
  <sheetViews>
    <sheetView workbookViewId="0">
      <selection activeCell="A3" sqref="A3:XFD3"/>
    </sheetView>
  </sheetViews>
  <sheetFormatPr baseColWidth="10" defaultRowHeight="15" x14ac:dyDescent="0.25"/>
  <cols>
    <col min="1" max="1" width="17.7109375" bestFit="1" customWidth="1"/>
    <col min="2" max="2" width="13.7109375" bestFit="1" customWidth="1"/>
    <col min="3" max="3" width="19.7109375" bestFit="1" customWidth="1"/>
    <col min="5" max="5" width="28.140625" bestFit="1" customWidth="1"/>
    <col min="7" max="7" width="58" bestFit="1" customWidth="1"/>
    <col min="8" max="8" width="42.42578125" bestFit="1" customWidth="1"/>
    <col min="9" max="9" width="47.140625" bestFit="1" customWidth="1"/>
    <col min="11" max="11" width="16.140625" bestFit="1" customWidth="1"/>
    <col min="12" max="12" width="35.140625" bestFit="1" customWidth="1"/>
    <col min="13" max="13" width="30" bestFit="1" customWidth="1"/>
    <col min="14" max="14" width="11.85546875" bestFit="1" customWidth="1"/>
  </cols>
  <sheetData>
    <row r="1" spans="1:14" x14ac:dyDescent="0.25">
      <c r="A1" s="4" t="s">
        <v>76</v>
      </c>
      <c r="B1" s="4" t="s">
        <v>79</v>
      </c>
      <c r="C1" s="4" t="s">
        <v>0</v>
      </c>
      <c r="D1" s="4" t="s">
        <v>80</v>
      </c>
      <c r="E1" s="4" t="s">
        <v>81</v>
      </c>
      <c r="F1" s="4" t="s">
        <v>1</v>
      </c>
      <c r="G1" s="4" t="s">
        <v>82</v>
      </c>
      <c r="H1" s="4" t="s">
        <v>83</v>
      </c>
      <c r="I1" s="4" t="s">
        <v>312</v>
      </c>
      <c r="J1" s="4" t="s">
        <v>2</v>
      </c>
      <c r="K1" s="4" t="s">
        <v>84</v>
      </c>
      <c r="L1" s="4" t="s">
        <v>85</v>
      </c>
      <c r="M1" s="4" t="s">
        <v>313</v>
      </c>
      <c r="N1" s="4" t="s">
        <v>3</v>
      </c>
    </row>
    <row r="2" spans="1:14" x14ac:dyDescent="0.25">
      <c r="A2" s="1" t="s">
        <v>77</v>
      </c>
      <c r="B2" s="1" t="s">
        <v>86</v>
      </c>
      <c r="C2" s="2">
        <v>37330</v>
      </c>
      <c r="D2" s="1">
        <v>3004567891</v>
      </c>
      <c r="E2" s="3" t="s">
        <v>104</v>
      </c>
      <c r="F2" s="1">
        <v>2.1</v>
      </c>
      <c r="G2" s="1" t="s">
        <v>268</v>
      </c>
      <c r="H2" s="1" t="s">
        <v>4</v>
      </c>
      <c r="I2" s="1" t="s">
        <v>299</v>
      </c>
      <c r="J2" s="1" t="s">
        <v>6</v>
      </c>
      <c r="K2" s="1" t="s">
        <v>7</v>
      </c>
      <c r="L2" s="25" t="s">
        <v>314</v>
      </c>
      <c r="M2" s="25" t="s">
        <v>315</v>
      </c>
      <c r="N2" s="26">
        <v>68000</v>
      </c>
    </row>
    <row r="3" spans="1:14" x14ac:dyDescent="0.25">
      <c r="A3" s="1" t="s">
        <v>78</v>
      </c>
      <c r="B3" s="1" t="s">
        <v>87</v>
      </c>
      <c r="C3" s="2">
        <v>37094</v>
      </c>
      <c r="D3" s="1">
        <v>3015678902</v>
      </c>
      <c r="E3" s="3" t="s">
        <v>105</v>
      </c>
      <c r="F3" s="1">
        <v>1</v>
      </c>
      <c r="G3" s="1" t="s">
        <v>8</v>
      </c>
      <c r="H3" s="1" t="s">
        <v>9</v>
      </c>
      <c r="I3" s="1" t="s">
        <v>300</v>
      </c>
      <c r="J3" s="1" t="s">
        <v>6</v>
      </c>
      <c r="K3" s="1" t="s">
        <v>10</v>
      </c>
      <c r="L3" s="26">
        <v>26000</v>
      </c>
      <c r="M3" s="26">
        <v>2000</v>
      </c>
      <c r="N3" s="26">
        <f>SUM(L3,M3)*F3</f>
        <v>28000</v>
      </c>
    </row>
    <row r="4" spans="1:14" x14ac:dyDescent="0.25">
      <c r="A4" s="1" t="s">
        <v>88</v>
      </c>
      <c r="B4" s="1" t="s">
        <v>89</v>
      </c>
      <c r="C4" s="2">
        <v>37933</v>
      </c>
      <c r="D4" s="1">
        <v>3026789013</v>
      </c>
      <c r="E4" s="3" t="s">
        <v>106</v>
      </c>
      <c r="F4" s="1">
        <v>3</v>
      </c>
      <c r="G4" s="1" t="s">
        <v>11</v>
      </c>
      <c r="H4" s="1" t="s">
        <v>12</v>
      </c>
      <c r="I4" s="1" t="s">
        <v>300</v>
      </c>
      <c r="J4" s="1" t="s">
        <v>6</v>
      </c>
      <c r="K4" s="1" t="s">
        <v>13</v>
      </c>
      <c r="L4" s="26">
        <v>20000</v>
      </c>
      <c r="M4" s="26">
        <v>2000</v>
      </c>
      <c r="N4" s="26">
        <f>SUM(L4,M4)*F4</f>
        <v>66000</v>
      </c>
    </row>
    <row r="5" spans="1:14" x14ac:dyDescent="0.25">
      <c r="A5" s="1" t="s">
        <v>90</v>
      </c>
      <c r="B5" s="1" t="s">
        <v>91</v>
      </c>
      <c r="C5" s="2">
        <v>36544</v>
      </c>
      <c r="D5" s="1">
        <v>3037890124</v>
      </c>
      <c r="E5" s="3" t="s">
        <v>107</v>
      </c>
      <c r="F5" s="1">
        <v>1</v>
      </c>
      <c r="G5" s="1" t="s">
        <v>60</v>
      </c>
      <c r="H5" s="1" t="s">
        <v>9</v>
      </c>
      <c r="I5" s="1" t="s">
        <v>278</v>
      </c>
      <c r="J5" s="1" t="s">
        <v>6</v>
      </c>
      <c r="K5" s="1" t="s">
        <v>15</v>
      </c>
      <c r="L5" s="26">
        <v>22000</v>
      </c>
      <c r="M5" s="26">
        <v>1500</v>
      </c>
      <c r="N5" s="26">
        <f t="shared" ref="N5:N31" si="0">SUM(L5,M5)*F5</f>
        <v>23500</v>
      </c>
    </row>
    <row r="6" spans="1:14" x14ac:dyDescent="0.25">
      <c r="A6" s="1" t="s">
        <v>92</v>
      </c>
      <c r="B6" s="1" t="s">
        <v>93</v>
      </c>
      <c r="C6" s="2">
        <v>37406</v>
      </c>
      <c r="D6" s="1">
        <v>3048901235</v>
      </c>
      <c r="E6" s="3" t="s">
        <v>108</v>
      </c>
      <c r="F6" s="1">
        <v>2.1</v>
      </c>
      <c r="G6" s="1" t="s">
        <v>279</v>
      </c>
      <c r="H6" s="1" t="s">
        <v>4</v>
      </c>
      <c r="I6" s="1" t="s">
        <v>301</v>
      </c>
      <c r="J6" s="1" t="s">
        <v>6</v>
      </c>
      <c r="K6" s="1" t="s">
        <v>17</v>
      </c>
      <c r="L6" s="25" t="s">
        <v>316</v>
      </c>
      <c r="M6" s="25" t="s">
        <v>317</v>
      </c>
      <c r="N6" s="26">
        <v>70000</v>
      </c>
    </row>
    <row r="7" spans="1:14" x14ac:dyDescent="0.25">
      <c r="A7" s="1" t="s">
        <v>94</v>
      </c>
      <c r="B7" s="1" t="s">
        <v>95</v>
      </c>
      <c r="C7" s="2">
        <v>37146</v>
      </c>
      <c r="D7" s="1">
        <v>3059012346</v>
      </c>
      <c r="E7" s="3" t="s">
        <v>109</v>
      </c>
      <c r="F7" s="1">
        <v>1</v>
      </c>
      <c r="G7" s="1" t="s">
        <v>18</v>
      </c>
      <c r="H7" s="1" t="s">
        <v>9</v>
      </c>
      <c r="I7" s="1" t="s">
        <v>271</v>
      </c>
      <c r="J7" s="1" t="s">
        <v>6</v>
      </c>
      <c r="K7" s="1" t="s">
        <v>19</v>
      </c>
      <c r="L7" s="26">
        <v>28000</v>
      </c>
      <c r="M7" s="26">
        <v>2000</v>
      </c>
      <c r="N7" s="26">
        <f t="shared" si="0"/>
        <v>30000</v>
      </c>
    </row>
    <row r="8" spans="1:14" x14ac:dyDescent="0.25">
      <c r="A8" s="1" t="s">
        <v>96</v>
      </c>
      <c r="B8" s="1" t="s">
        <v>97</v>
      </c>
      <c r="C8" s="2">
        <v>37980</v>
      </c>
      <c r="D8" s="1">
        <v>3060123457</v>
      </c>
      <c r="E8" s="3" t="s">
        <v>110</v>
      </c>
      <c r="F8" s="23" t="s">
        <v>281</v>
      </c>
      <c r="G8" s="1" t="s">
        <v>280</v>
      </c>
      <c r="H8" s="1" t="s">
        <v>292</v>
      </c>
      <c r="I8" s="1" t="s">
        <v>302</v>
      </c>
      <c r="J8" s="1" t="s">
        <v>6</v>
      </c>
      <c r="K8" s="1" t="s">
        <v>21</v>
      </c>
      <c r="L8" s="25" t="s">
        <v>318</v>
      </c>
      <c r="M8" s="25" t="s">
        <v>319</v>
      </c>
      <c r="N8" s="26">
        <v>120000</v>
      </c>
    </row>
    <row r="9" spans="1:14" x14ac:dyDescent="0.25">
      <c r="A9" s="1" t="s">
        <v>98</v>
      </c>
      <c r="B9" s="1" t="s">
        <v>99</v>
      </c>
      <c r="C9" s="2">
        <v>37290</v>
      </c>
      <c r="D9" s="1">
        <v>3071234568</v>
      </c>
      <c r="E9" s="3" t="s">
        <v>111</v>
      </c>
      <c r="F9" s="1">
        <v>1.1000000000000001</v>
      </c>
      <c r="G9" s="1" t="s">
        <v>282</v>
      </c>
      <c r="H9" s="1" t="s">
        <v>293</v>
      </c>
      <c r="I9" s="1" t="s">
        <v>303</v>
      </c>
      <c r="J9" s="1" t="s">
        <v>6</v>
      </c>
      <c r="K9" s="1" t="s">
        <v>23</v>
      </c>
      <c r="L9" s="25" t="s">
        <v>321</v>
      </c>
      <c r="M9" s="25" t="s">
        <v>322</v>
      </c>
      <c r="N9" s="26">
        <v>30500</v>
      </c>
    </row>
    <row r="10" spans="1:14" x14ac:dyDescent="0.25">
      <c r="A10" s="1" t="s">
        <v>100</v>
      </c>
      <c r="B10" s="1" t="s">
        <v>101</v>
      </c>
      <c r="C10" s="2">
        <v>36694</v>
      </c>
      <c r="D10" s="1">
        <v>3082345679</v>
      </c>
      <c r="E10" s="3" t="s">
        <v>112</v>
      </c>
      <c r="F10" s="1">
        <v>3</v>
      </c>
      <c r="G10" s="1" t="s">
        <v>24</v>
      </c>
      <c r="H10" s="1" t="s">
        <v>9</v>
      </c>
      <c r="I10" s="1" t="s">
        <v>270</v>
      </c>
      <c r="J10" s="1" t="s">
        <v>6</v>
      </c>
      <c r="K10" s="1" t="s">
        <v>26</v>
      </c>
      <c r="L10" s="26">
        <v>25000</v>
      </c>
      <c r="M10" s="26">
        <v>1000</v>
      </c>
      <c r="N10" s="26">
        <f t="shared" si="0"/>
        <v>78000</v>
      </c>
    </row>
    <row r="11" spans="1:14" x14ac:dyDescent="0.25">
      <c r="A11" s="1" t="s">
        <v>102</v>
      </c>
      <c r="B11" s="1" t="s">
        <v>103</v>
      </c>
      <c r="C11" s="2">
        <v>37922</v>
      </c>
      <c r="D11" s="1">
        <v>3093456780</v>
      </c>
      <c r="E11" s="3" t="s">
        <v>113</v>
      </c>
      <c r="F11" s="1">
        <v>2.1</v>
      </c>
      <c r="G11" s="1" t="s">
        <v>284</v>
      </c>
      <c r="H11" s="1" t="s">
        <v>294</v>
      </c>
      <c r="I11" s="1" t="s">
        <v>304</v>
      </c>
      <c r="J11" s="1" t="s">
        <v>6</v>
      </c>
      <c r="K11" s="1" t="s">
        <v>29</v>
      </c>
      <c r="L11" s="26" t="s">
        <v>320</v>
      </c>
      <c r="M11" s="25" t="s">
        <v>322</v>
      </c>
      <c r="N11" s="26">
        <v>49000</v>
      </c>
    </row>
    <row r="12" spans="1:14" x14ac:dyDescent="0.25">
      <c r="A12" s="1" t="s">
        <v>114</v>
      </c>
      <c r="B12" s="1" t="s">
        <v>115</v>
      </c>
      <c r="C12" s="2">
        <v>36992</v>
      </c>
      <c r="D12" s="1">
        <v>3104567891</v>
      </c>
      <c r="E12" s="3" t="s">
        <v>30</v>
      </c>
      <c r="F12" s="1">
        <v>1</v>
      </c>
      <c r="G12" s="1" t="s">
        <v>116</v>
      </c>
      <c r="H12" s="1" t="s">
        <v>31</v>
      </c>
      <c r="I12" s="1" t="s">
        <v>20</v>
      </c>
      <c r="J12" s="1" t="s">
        <v>6</v>
      </c>
      <c r="K12" s="1" t="s">
        <v>32</v>
      </c>
      <c r="L12" s="26">
        <v>15000</v>
      </c>
      <c r="M12" s="26">
        <v>1500</v>
      </c>
      <c r="N12" s="26">
        <f t="shared" si="0"/>
        <v>16500</v>
      </c>
    </row>
    <row r="13" spans="1:14" x14ac:dyDescent="0.25">
      <c r="A13" s="1" t="s">
        <v>117</v>
      </c>
      <c r="B13" s="1" t="s">
        <v>118</v>
      </c>
      <c r="C13" s="2">
        <v>37474</v>
      </c>
      <c r="D13" s="1">
        <v>3115678902</v>
      </c>
      <c r="E13" s="3" t="s">
        <v>156</v>
      </c>
      <c r="F13" s="1">
        <v>2.2999999999999998</v>
      </c>
      <c r="G13" s="1" t="s">
        <v>285</v>
      </c>
      <c r="H13" s="1" t="s">
        <v>295</v>
      </c>
      <c r="I13" s="1" t="s">
        <v>305</v>
      </c>
      <c r="J13" s="1" t="s">
        <v>6</v>
      </c>
      <c r="K13" s="1" t="s">
        <v>33</v>
      </c>
      <c r="L13" s="25" t="s">
        <v>323</v>
      </c>
      <c r="M13" s="25" t="s">
        <v>324</v>
      </c>
      <c r="N13" s="26">
        <v>99000</v>
      </c>
    </row>
    <row r="14" spans="1:14" x14ac:dyDescent="0.25">
      <c r="A14" s="1" t="s">
        <v>119</v>
      </c>
      <c r="B14" s="1" t="s">
        <v>120</v>
      </c>
      <c r="C14" s="2">
        <v>38009</v>
      </c>
      <c r="D14" s="1">
        <v>3126789013</v>
      </c>
      <c r="E14" s="3" t="s">
        <v>34</v>
      </c>
      <c r="F14" s="1">
        <v>1</v>
      </c>
      <c r="G14" s="1" t="s">
        <v>121</v>
      </c>
      <c r="H14" s="1" t="s">
        <v>12</v>
      </c>
      <c r="I14" s="1" t="s">
        <v>14</v>
      </c>
      <c r="J14" s="1" t="s">
        <v>6</v>
      </c>
      <c r="K14" s="1" t="s">
        <v>35</v>
      </c>
      <c r="L14" s="26">
        <v>25000</v>
      </c>
      <c r="M14" s="26">
        <v>1500</v>
      </c>
      <c r="N14" s="26">
        <f t="shared" si="0"/>
        <v>26500</v>
      </c>
    </row>
    <row r="15" spans="1:14" x14ac:dyDescent="0.25">
      <c r="A15" s="1" t="s">
        <v>122</v>
      </c>
      <c r="B15" s="1" t="s">
        <v>123</v>
      </c>
      <c r="C15" s="2">
        <v>37025</v>
      </c>
      <c r="D15" s="1">
        <v>3137890124</v>
      </c>
      <c r="E15" s="3" t="s">
        <v>36</v>
      </c>
      <c r="F15" s="1">
        <v>3.4</v>
      </c>
      <c r="G15" s="1" t="s">
        <v>286</v>
      </c>
      <c r="H15" s="1" t="s">
        <v>296</v>
      </c>
      <c r="I15" s="1" t="s">
        <v>301</v>
      </c>
      <c r="J15" s="1" t="s">
        <v>6</v>
      </c>
      <c r="K15" s="1" t="s">
        <v>37</v>
      </c>
      <c r="L15" s="25" t="s">
        <v>325</v>
      </c>
      <c r="M15" s="25" t="s">
        <v>317</v>
      </c>
      <c r="N15" s="26">
        <v>173500</v>
      </c>
    </row>
    <row r="16" spans="1:14" x14ac:dyDescent="0.25">
      <c r="A16" s="1" t="s">
        <v>124</v>
      </c>
      <c r="B16" s="1" t="s">
        <v>125</v>
      </c>
      <c r="C16" s="2">
        <v>37903</v>
      </c>
      <c r="D16" s="1">
        <v>3148901235</v>
      </c>
      <c r="E16" s="3" t="s">
        <v>38</v>
      </c>
      <c r="F16" s="1">
        <v>2</v>
      </c>
      <c r="G16" s="1" t="s">
        <v>39</v>
      </c>
      <c r="H16" s="1" t="s">
        <v>12</v>
      </c>
      <c r="I16" s="1" t="s">
        <v>20</v>
      </c>
      <c r="J16" s="1" t="s">
        <v>6</v>
      </c>
      <c r="K16" s="1" t="s">
        <v>40</v>
      </c>
      <c r="L16" s="26">
        <v>14000</v>
      </c>
      <c r="M16" s="26">
        <v>1500</v>
      </c>
      <c r="N16" s="26">
        <f t="shared" si="0"/>
        <v>31000</v>
      </c>
    </row>
    <row r="17" spans="1:14" x14ac:dyDescent="0.25">
      <c r="A17" s="1" t="s">
        <v>126</v>
      </c>
      <c r="B17" s="1" t="s">
        <v>127</v>
      </c>
      <c r="C17" s="2">
        <v>36583</v>
      </c>
      <c r="D17" s="1">
        <v>3159012346</v>
      </c>
      <c r="E17" s="3" t="s">
        <v>41</v>
      </c>
      <c r="F17" s="1">
        <v>1</v>
      </c>
      <c r="G17" s="1" t="s">
        <v>42</v>
      </c>
      <c r="H17" s="1" t="s">
        <v>9</v>
      </c>
      <c r="I17" s="1" t="s">
        <v>16</v>
      </c>
      <c r="J17" s="1" t="s">
        <v>6</v>
      </c>
      <c r="K17" s="1" t="s">
        <v>43</v>
      </c>
      <c r="L17" s="26">
        <v>18000</v>
      </c>
      <c r="M17" s="26">
        <v>1500</v>
      </c>
      <c r="N17" s="26">
        <f t="shared" si="0"/>
        <v>19500</v>
      </c>
    </row>
    <row r="18" spans="1:14" x14ac:dyDescent="0.25">
      <c r="A18" s="1" t="s">
        <v>128</v>
      </c>
      <c r="B18" s="1" t="s">
        <v>129</v>
      </c>
      <c r="C18" s="2">
        <v>37608</v>
      </c>
      <c r="D18" s="1">
        <v>3160123457</v>
      </c>
      <c r="E18" s="3" t="s">
        <v>44</v>
      </c>
      <c r="F18" s="1">
        <v>2</v>
      </c>
      <c r="G18" s="1" t="s">
        <v>45</v>
      </c>
      <c r="H18" s="1" t="s">
        <v>12</v>
      </c>
      <c r="I18" s="1" t="s">
        <v>28</v>
      </c>
      <c r="J18" s="1" t="s">
        <v>6</v>
      </c>
      <c r="K18" s="1" t="s">
        <v>46</v>
      </c>
      <c r="L18" s="26">
        <v>16000</v>
      </c>
      <c r="M18" s="26">
        <v>1500</v>
      </c>
      <c r="N18" s="26">
        <f t="shared" si="0"/>
        <v>35000</v>
      </c>
    </row>
    <row r="19" spans="1:14" x14ac:dyDescent="0.25">
      <c r="A19" s="1" t="s">
        <v>130</v>
      </c>
      <c r="B19" s="1" t="s">
        <v>131</v>
      </c>
      <c r="C19" s="2">
        <v>37047</v>
      </c>
      <c r="D19" s="1">
        <v>3171234568</v>
      </c>
      <c r="E19" s="3" t="s">
        <v>283</v>
      </c>
      <c r="F19" s="1">
        <v>1.2</v>
      </c>
      <c r="G19" s="1" t="s">
        <v>306</v>
      </c>
      <c r="H19" s="1" t="s">
        <v>297</v>
      </c>
      <c r="I19" s="1" t="s">
        <v>307</v>
      </c>
      <c r="J19" s="1" t="s">
        <v>6</v>
      </c>
      <c r="K19" s="1" t="s">
        <v>47</v>
      </c>
      <c r="L19" s="25" t="s">
        <v>326</v>
      </c>
      <c r="M19" s="25" t="s">
        <v>327</v>
      </c>
      <c r="N19" s="26">
        <v>52000</v>
      </c>
    </row>
    <row r="20" spans="1:14" x14ac:dyDescent="0.25">
      <c r="A20" s="1" t="s">
        <v>132</v>
      </c>
      <c r="B20" s="1" t="s">
        <v>133</v>
      </c>
      <c r="C20" s="2">
        <v>37885</v>
      </c>
      <c r="D20" s="1">
        <v>3182345679</v>
      </c>
      <c r="E20" s="3" t="s">
        <v>48</v>
      </c>
      <c r="F20" s="1">
        <v>2</v>
      </c>
      <c r="G20" s="1" t="s">
        <v>49</v>
      </c>
      <c r="H20" s="1" t="s">
        <v>9</v>
      </c>
      <c r="I20" s="24" t="s">
        <v>270</v>
      </c>
      <c r="J20" s="1" t="s">
        <v>6</v>
      </c>
      <c r="K20" s="1" t="s">
        <v>50</v>
      </c>
      <c r="L20" s="26">
        <v>23000</v>
      </c>
      <c r="M20" s="26">
        <v>1000</v>
      </c>
      <c r="N20" s="26">
        <f t="shared" si="0"/>
        <v>48000</v>
      </c>
    </row>
    <row r="21" spans="1:14" x14ac:dyDescent="0.25">
      <c r="A21" s="1" t="s">
        <v>134</v>
      </c>
      <c r="B21" s="1" t="s">
        <v>135</v>
      </c>
      <c r="C21" s="2">
        <v>37331</v>
      </c>
      <c r="D21" s="1">
        <v>3193456780</v>
      </c>
      <c r="E21" s="3" t="s">
        <v>51</v>
      </c>
      <c r="F21" s="1">
        <v>1</v>
      </c>
      <c r="G21" s="1" t="s">
        <v>52</v>
      </c>
      <c r="H21" s="1" t="s">
        <v>12</v>
      </c>
      <c r="I21" s="1" t="s">
        <v>271</v>
      </c>
      <c r="J21" s="1" t="s">
        <v>6</v>
      </c>
      <c r="K21" s="1" t="s">
        <v>53</v>
      </c>
      <c r="L21" s="26">
        <v>14000</v>
      </c>
      <c r="M21" s="26">
        <v>2000</v>
      </c>
      <c r="N21" s="26">
        <f t="shared" si="0"/>
        <v>16000</v>
      </c>
    </row>
    <row r="22" spans="1:14" x14ac:dyDescent="0.25">
      <c r="A22" s="1" t="s">
        <v>136</v>
      </c>
      <c r="B22" s="1" t="s">
        <v>137</v>
      </c>
      <c r="C22" s="2">
        <v>36736</v>
      </c>
      <c r="D22" s="1">
        <v>3005678901</v>
      </c>
      <c r="E22" s="3" t="s">
        <v>54</v>
      </c>
      <c r="F22" s="1">
        <v>3</v>
      </c>
      <c r="G22" s="1" t="s">
        <v>55</v>
      </c>
      <c r="H22" s="1" t="s">
        <v>9</v>
      </c>
      <c r="I22" s="1" t="s">
        <v>308</v>
      </c>
      <c r="J22" s="1" t="s">
        <v>6</v>
      </c>
      <c r="K22" s="1" t="s">
        <v>56</v>
      </c>
      <c r="L22" s="26">
        <v>23000</v>
      </c>
      <c r="M22" s="26">
        <v>1500</v>
      </c>
      <c r="N22" s="26">
        <f t="shared" si="0"/>
        <v>73500</v>
      </c>
    </row>
    <row r="23" spans="1:14" x14ac:dyDescent="0.25">
      <c r="A23" s="1" t="s">
        <v>138</v>
      </c>
      <c r="B23" s="1" t="s">
        <v>139</v>
      </c>
      <c r="C23" s="2">
        <v>37205</v>
      </c>
      <c r="D23" s="1">
        <v>3016789012</v>
      </c>
      <c r="E23" s="3" t="s">
        <v>57</v>
      </c>
      <c r="F23" s="23" t="s">
        <v>287</v>
      </c>
      <c r="G23" s="1" t="s">
        <v>288</v>
      </c>
      <c r="H23" s="1" t="s">
        <v>298</v>
      </c>
      <c r="I23" s="1" t="s">
        <v>309</v>
      </c>
      <c r="J23" s="1" t="s">
        <v>6</v>
      </c>
      <c r="K23" s="1" t="s">
        <v>58</v>
      </c>
      <c r="L23" s="25" t="s">
        <v>328</v>
      </c>
      <c r="M23" s="25" t="s">
        <v>329</v>
      </c>
      <c r="N23" s="26">
        <v>311000</v>
      </c>
    </row>
    <row r="24" spans="1:14" x14ac:dyDescent="0.25">
      <c r="A24" s="1" t="s">
        <v>140</v>
      </c>
      <c r="B24" s="1" t="s">
        <v>141</v>
      </c>
      <c r="C24" s="2">
        <v>37735</v>
      </c>
      <c r="D24" s="1">
        <v>3027890123</v>
      </c>
      <c r="E24" s="3" t="s">
        <v>59</v>
      </c>
      <c r="F24" s="1">
        <v>1</v>
      </c>
      <c r="G24" s="1" t="s">
        <v>60</v>
      </c>
      <c r="H24" s="1" t="s">
        <v>12</v>
      </c>
      <c r="I24" s="1" t="s">
        <v>278</v>
      </c>
      <c r="J24" s="1" t="s">
        <v>6</v>
      </c>
      <c r="K24" s="1" t="s">
        <v>61</v>
      </c>
      <c r="L24" s="26">
        <v>16000</v>
      </c>
      <c r="M24" s="26">
        <v>1500</v>
      </c>
      <c r="N24" s="26">
        <f t="shared" si="0"/>
        <v>17500</v>
      </c>
    </row>
    <row r="25" spans="1:14" x14ac:dyDescent="0.25">
      <c r="A25" s="1" t="s">
        <v>142</v>
      </c>
      <c r="B25" s="1" t="s">
        <v>143</v>
      </c>
      <c r="C25" s="2">
        <v>37263</v>
      </c>
      <c r="D25" s="1">
        <v>3038901234</v>
      </c>
      <c r="E25" s="3" t="s">
        <v>62</v>
      </c>
      <c r="F25" s="1">
        <v>2</v>
      </c>
      <c r="G25" s="1" t="s">
        <v>18</v>
      </c>
      <c r="H25" s="1" t="s">
        <v>9</v>
      </c>
      <c r="I25" s="1" t="s">
        <v>20</v>
      </c>
      <c r="J25" s="1" t="s">
        <v>6</v>
      </c>
      <c r="K25" s="1" t="s">
        <v>63</v>
      </c>
      <c r="L25" s="26">
        <v>28000</v>
      </c>
      <c r="M25" s="26">
        <v>1500</v>
      </c>
      <c r="N25" s="26">
        <f t="shared" si="0"/>
        <v>59000</v>
      </c>
    </row>
    <row r="26" spans="1:14" x14ac:dyDescent="0.25">
      <c r="A26" s="1" t="s">
        <v>144</v>
      </c>
      <c r="B26" s="1" t="s">
        <v>145</v>
      </c>
      <c r="C26" s="2">
        <v>36751</v>
      </c>
      <c r="D26" s="1">
        <v>3049012345</v>
      </c>
      <c r="E26" s="3" t="s">
        <v>64</v>
      </c>
      <c r="F26" s="1">
        <v>1.3</v>
      </c>
      <c r="G26" s="1" t="s">
        <v>289</v>
      </c>
      <c r="H26" s="1" t="s">
        <v>293</v>
      </c>
      <c r="I26" s="1" t="s">
        <v>310</v>
      </c>
      <c r="J26" s="1" t="s">
        <v>6</v>
      </c>
      <c r="K26" s="1" t="s">
        <v>65</v>
      </c>
      <c r="L26" s="25" t="s">
        <v>330</v>
      </c>
      <c r="M26" s="25" t="s">
        <v>331</v>
      </c>
      <c r="N26" s="26">
        <v>88000</v>
      </c>
    </row>
    <row r="27" spans="1:14" x14ac:dyDescent="0.25">
      <c r="A27" s="1" t="s">
        <v>146</v>
      </c>
      <c r="B27" s="1" t="s">
        <v>147</v>
      </c>
      <c r="C27" s="2">
        <v>37767</v>
      </c>
      <c r="D27" s="1">
        <v>3050123456</v>
      </c>
      <c r="E27" s="3" t="s">
        <v>66</v>
      </c>
      <c r="F27" s="1">
        <v>3</v>
      </c>
      <c r="G27" s="1" t="s">
        <v>27</v>
      </c>
      <c r="H27" s="1" t="s">
        <v>9</v>
      </c>
      <c r="I27" s="1" t="s">
        <v>278</v>
      </c>
      <c r="J27" s="1" t="s">
        <v>6</v>
      </c>
      <c r="K27" s="1" t="s">
        <v>67</v>
      </c>
      <c r="L27" s="26">
        <v>17000</v>
      </c>
      <c r="M27" s="26">
        <v>1500</v>
      </c>
      <c r="N27" s="26">
        <f t="shared" si="0"/>
        <v>55500</v>
      </c>
    </row>
    <row r="28" spans="1:14" x14ac:dyDescent="0.25">
      <c r="A28" s="1" t="s">
        <v>148</v>
      </c>
      <c r="B28" s="1" t="s">
        <v>149</v>
      </c>
      <c r="C28" s="2">
        <v>37227</v>
      </c>
      <c r="D28" s="1">
        <v>3061234567</v>
      </c>
      <c r="E28" s="3" t="s">
        <v>68</v>
      </c>
      <c r="F28" s="1">
        <v>2</v>
      </c>
      <c r="G28" s="1" t="s">
        <v>121</v>
      </c>
      <c r="H28" s="1" t="s">
        <v>9</v>
      </c>
      <c r="I28" s="1" t="s">
        <v>5</v>
      </c>
      <c r="J28" s="1" t="s">
        <v>6</v>
      </c>
      <c r="K28" s="1" t="s">
        <v>69</v>
      </c>
      <c r="L28" s="26">
        <v>30000</v>
      </c>
      <c r="M28" s="26">
        <v>2500</v>
      </c>
      <c r="N28" s="26">
        <f t="shared" si="0"/>
        <v>65000</v>
      </c>
    </row>
    <row r="29" spans="1:14" x14ac:dyDescent="0.25">
      <c r="A29" s="1" t="s">
        <v>150</v>
      </c>
      <c r="B29" s="1" t="s">
        <v>151</v>
      </c>
      <c r="C29" s="2">
        <v>38158</v>
      </c>
      <c r="D29" s="1">
        <v>3072345678</v>
      </c>
      <c r="E29" s="3" t="s">
        <v>70</v>
      </c>
      <c r="F29" s="1">
        <v>1.1000000000000001</v>
      </c>
      <c r="G29" s="1" t="s">
        <v>290</v>
      </c>
      <c r="H29" s="1" t="s">
        <v>294</v>
      </c>
      <c r="I29" s="1" t="s">
        <v>299</v>
      </c>
      <c r="J29" s="1" t="s">
        <v>6</v>
      </c>
      <c r="K29" s="1" t="s">
        <v>71</v>
      </c>
      <c r="L29" s="25" t="s">
        <v>326</v>
      </c>
      <c r="M29" s="25" t="s">
        <v>315</v>
      </c>
      <c r="N29" s="26">
        <v>35500</v>
      </c>
    </row>
    <row r="30" spans="1:14" x14ac:dyDescent="0.25">
      <c r="A30" s="1" t="s">
        <v>152</v>
      </c>
      <c r="B30" s="1" t="s">
        <v>153</v>
      </c>
      <c r="C30" s="2">
        <v>37560</v>
      </c>
      <c r="D30" s="1">
        <v>3083456789</v>
      </c>
      <c r="E30" s="3" t="s">
        <v>72</v>
      </c>
      <c r="F30" s="1">
        <v>2.1</v>
      </c>
      <c r="G30" s="1" t="s">
        <v>291</v>
      </c>
      <c r="H30" s="1" t="s">
        <v>296</v>
      </c>
      <c r="I30" s="1" t="s">
        <v>311</v>
      </c>
      <c r="J30" s="1" t="s">
        <v>6</v>
      </c>
      <c r="K30" s="1" t="s">
        <v>73</v>
      </c>
      <c r="L30" s="25" t="s">
        <v>332</v>
      </c>
      <c r="M30" s="25" t="s">
        <v>331</v>
      </c>
      <c r="N30" s="26">
        <v>58000</v>
      </c>
    </row>
    <row r="31" spans="1:14" x14ac:dyDescent="0.25">
      <c r="A31" s="1" t="s">
        <v>154</v>
      </c>
      <c r="B31" s="1" t="s">
        <v>155</v>
      </c>
      <c r="C31" s="2">
        <v>36931</v>
      </c>
      <c r="D31" s="1">
        <v>3094567890</v>
      </c>
      <c r="E31" s="3" t="s">
        <v>74</v>
      </c>
      <c r="F31" s="1">
        <v>1</v>
      </c>
      <c r="G31" s="1" t="s">
        <v>11</v>
      </c>
      <c r="H31" s="1" t="s">
        <v>9</v>
      </c>
      <c r="I31" s="1" t="s">
        <v>271</v>
      </c>
      <c r="J31" s="1" t="s">
        <v>6</v>
      </c>
      <c r="K31" s="1" t="s">
        <v>75</v>
      </c>
      <c r="L31" s="26">
        <v>25000</v>
      </c>
      <c r="M31" s="26">
        <v>2000</v>
      </c>
      <c r="N31" s="26">
        <f t="shared" si="0"/>
        <v>27000</v>
      </c>
    </row>
    <row r="35" spans="7:11" x14ac:dyDescent="0.25">
      <c r="G35" s="7" t="s">
        <v>157</v>
      </c>
      <c r="H35" s="8">
        <v>18000</v>
      </c>
      <c r="J35" s="18" t="s">
        <v>269</v>
      </c>
    </row>
    <row r="36" spans="7:11" x14ac:dyDescent="0.25">
      <c r="G36" s="7" t="s">
        <v>158</v>
      </c>
      <c r="H36" s="8">
        <v>20000</v>
      </c>
      <c r="J36" s="19" t="s">
        <v>5</v>
      </c>
      <c r="K36" s="20">
        <v>2500</v>
      </c>
    </row>
    <row r="37" spans="7:11" x14ac:dyDescent="0.25">
      <c r="G37" s="7" t="s">
        <v>159</v>
      </c>
      <c r="H37" s="8">
        <v>23000</v>
      </c>
      <c r="J37" s="19" t="s">
        <v>270</v>
      </c>
      <c r="K37" s="20">
        <v>1000</v>
      </c>
    </row>
    <row r="38" spans="7:11" x14ac:dyDescent="0.25">
      <c r="G38" s="9" t="s">
        <v>160</v>
      </c>
      <c r="H38" s="10">
        <v>20000</v>
      </c>
      <c r="J38" s="19" t="s">
        <v>271</v>
      </c>
      <c r="K38" s="20">
        <v>2000</v>
      </c>
    </row>
    <row r="39" spans="7:11" x14ac:dyDescent="0.25">
      <c r="G39" s="9" t="s">
        <v>161</v>
      </c>
      <c r="H39" s="10">
        <v>23000</v>
      </c>
      <c r="J39" s="19" t="s">
        <v>272</v>
      </c>
      <c r="K39" s="20">
        <v>1500</v>
      </c>
    </row>
    <row r="40" spans="7:11" x14ac:dyDescent="0.25">
      <c r="G40" s="9" t="s">
        <v>162</v>
      </c>
      <c r="H40" s="10">
        <v>26000</v>
      </c>
      <c r="J40" s="19" t="s">
        <v>14</v>
      </c>
      <c r="K40" s="20">
        <v>2000</v>
      </c>
    </row>
    <row r="41" spans="7:11" x14ac:dyDescent="0.25">
      <c r="G41" s="11" t="s">
        <v>163</v>
      </c>
      <c r="H41" s="12">
        <v>15000</v>
      </c>
      <c r="J41" s="19" t="s">
        <v>16</v>
      </c>
      <c r="K41" s="20">
        <v>1500</v>
      </c>
    </row>
    <row r="42" spans="7:11" x14ac:dyDescent="0.25">
      <c r="G42" s="11" t="s">
        <v>164</v>
      </c>
      <c r="H42" s="12">
        <v>20000</v>
      </c>
      <c r="J42" s="19" t="s">
        <v>273</v>
      </c>
      <c r="K42" s="20">
        <v>1000</v>
      </c>
    </row>
    <row r="43" spans="7:11" x14ac:dyDescent="0.25">
      <c r="G43" s="11" t="s">
        <v>165</v>
      </c>
      <c r="H43" s="12">
        <v>25000</v>
      </c>
      <c r="J43" s="19" t="s">
        <v>22</v>
      </c>
      <c r="K43" s="20">
        <v>2000</v>
      </c>
    </row>
    <row r="44" spans="7:11" x14ac:dyDescent="0.25">
      <c r="G44" s="13" t="s">
        <v>167</v>
      </c>
      <c r="H44" s="14">
        <v>10000</v>
      </c>
      <c r="J44" s="19" t="s">
        <v>274</v>
      </c>
      <c r="K44" s="20">
        <v>1500</v>
      </c>
    </row>
    <row r="45" spans="7:11" x14ac:dyDescent="0.25">
      <c r="G45" s="13" t="s">
        <v>168</v>
      </c>
      <c r="H45" s="14">
        <v>16000</v>
      </c>
      <c r="J45" s="21" t="s">
        <v>25</v>
      </c>
      <c r="K45" s="20">
        <v>2000</v>
      </c>
    </row>
    <row r="46" spans="7:11" x14ac:dyDescent="0.25">
      <c r="G46" s="13" t="s">
        <v>166</v>
      </c>
      <c r="H46" s="14">
        <v>22000</v>
      </c>
      <c r="J46" s="21" t="s">
        <v>275</v>
      </c>
      <c r="K46" s="20">
        <v>2000</v>
      </c>
    </row>
    <row r="47" spans="7:11" x14ac:dyDescent="0.25">
      <c r="G47" s="5" t="s">
        <v>169</v>
      </c>
      <c r="H47" s="17">
        <v>10000</v>
      </c>
      <c r="J47" s="21" t="s">
        <v>20</v>
      </c>
      <c r="K47" s="20">
        <v>1500</v>
      </c>
    </row>
    <row r="48" spans="7:11" x14ac:dyDescent="0.25">
      <c r="G48" s="5" t="s">
        <v>170</v>
      </c>
      <c r="H48" s="17">
        <v>16000</v>
      </c>
      <c r="J48" s="21" t="s">
        <v>28</v>
      </c>
      <c r="K48" s="20">
        <v>1500</v>
      </c>
    </row>
    <row r="49" spans="7:11" x14ac:dyDescent="0.25">
      <c r="G49" s="5" t="s">
        <v>171</v>
      </c>
      <c r="H49" s="17">
        <v>22000</v>
      </c>
      <c r="J49" s="22" t="s">
        <v>276</v>
      </c>
      <c r="K49" s="20">
        <v>1500</v>
      </c>
    </row>
    <row r="50" spans="7:11" x14ac:dyDescent="0.25">
      <c r="G50" s="7" t="s">
        <v>172</v>
      </c>
      <c r="H50" s="8">
        <v>10000</v>
      </c>
      <c r="J50" s="22" t="s">
        <v>277</v>
      </c>
      <c r="K50" s="20">
        <v>1000</v>
      </c>
    </row>
    <row r="51" spans="7:11" x14ac:dyDescent="0.25">
      <c r="G51" s="7" t="s">
        <v>173</v>
      </c>
      <c r="H51" s="8">
        <v>16000</v>
      </c>
      <c r="J51" s="22" t="s">
        <v>278</v>
      </c>
      <c r="K51" s="20">
        <v>1500</v>
      </c>
    </row>
    <row r="52" spans="7:11" x14ac:dyDescent="0.25">
      <c r="G52" s="7" t="s">
        <v>174</v>
      </c>
      <c r="H52" s="8">
        <v>22000</v>
      </c>
    </row>
    <row r="53" spans="7:11" x14ac:dyDescent="0.25">
      <c r="G53" s="9" t="s">
        <v>175</v>
      </c>
      <c r="H53" s="10">
        <v>15000</v>
      </c>
    </row>
    <row r="54" spans="7:11" x14ac:dyDescent="0.25">
      <c r="G54" s="9" t="s">
        <v>176</v>
      </c>
      <c r="H54" s="10">
        <v>17000</v>
      </c>
    </row>
    <row r="55" spans="7:11" x14ac:dyDescent="0.25">
      <c r="G55" s="9" t="s">
        <v>177</v>
      </c>
      <c r="H55" s="10">
        <v>19000</v>
      </c>
    </row>
    <row r="56" spans="7:11" x14ac:dyDescent="0.25">
      <c r="G56" s="11" t="s">
        <v>178</v>
      </c>
      <c r="H56" s="12">
        <v>15000</v>
      </c>
    </row>
    <row r="57" spans="7:11" x14ac:dyDescent="0.25">
      <c r="G57" s="11" t="s">
        <v>180</v>
      </c>
      <c r="H57" s="12">
        <v>17000</v>
      </c>
    </row>
    <row r="58" spans="7:11" x14ac:dyDescent="0.25">
      <c r="G58" s="11" t="s">
        <v>179</v>
      </c>
      <c r="H58" s="12">
        <v>19000</v>
      </c>
    </row>
    <row r="59" spans="7:11" x14ac:dyDescent="0.25">
      <c r="G59" s="13" t="s">
        <v>181</v>
      </c>
      <c r="H59" s="14">
        <v>15000</v>
      </c>
    </row>
    <row r="60" spans="7:11" x14ac:dyDescent="0.25">
      <c r="G60" s="13" t="s">
        <v>182</v>
      </c>
      <c r="H60" s="14">
        <v>17000</v>
      </c>
    </row>
    <row r="61" spans="7:11" x14ac:dyDescent="0.25">
      <c r="G61" s="13" t="s">
        <v>183</v>
      </c>
      <c r="H61" s="14">
        <v>19000</v>
      </c>
    </row>
    <row r="62" spans="7:11" x14ac:dyDescent="0.25">
      <c r="G62" s="5" t="s">
        <v>184</v>
      </c>
      <c r="H62" s="17">
        <v>20000</v>
      </c>
    </row>
    <row r="63" spans="7:11" x14ac:dyDescent="0.25">
      <c r="G63" s="5" t="s">
        <v>185</v>
      </c>
      <c r="H63" s="17">
        <v>23000</v>
      </c>
    </row>
    <row r="64" spans="7:11" x14ac:dyDescent="0.25">
      <c r="G64" s="5" t="s">
        <v>186</v>
      </c>
      <c r="H64" s="17">
        <v>25000</v>
      </c>
    </row>
    <row r="65" spans="7:8" x14ac:dyDescent="0.25">
      <c r="G65" s="15" t="s">
        <v>189</v>
      </c>
      <c r="H65" s="16">
        <v>20000</v>
      </c>
    </row>
    <row r="66" spans="7:8" x14ac:dyDescent="0.25">
      <c r="G66" s="15" t="s">
        <v>188</v>
      </c>
      <c r="H66" s="16">
        <v>24000</v>
      </c>
    </row>
    <row r="67" spans="7:8" x14ac:dyDescent="0.25">
      <c r="G67" s="15" t="s">
        <v>187</v>
      </c>
      <c r="H67" s="16">
        <v>28000</v>
      </c>
    </row>
    <row r="68" spans="7:8" x14ac:dyDescent="0.25">
      <c r="G68" s="9" t="s">
        <v>190</v>
      </c>
      <c r="H68" s="10">
        <v>14000</v>
      </c>
    </row>
    <row r="69" spans="7:8" x14ac:dyDescent="0.25">
      <c r="G69" s="9" t="s">
        <v>191</v>
      </c>
      <c r="H69" s="10">
        <v>16000</v>
      </c>
    </row>
    <row r="70" spans="7:8" x14ac:dyDescent="0.25">
      <c r="G70" s="9" t="s">
        <v>192</v>
      </c>
      <c r="H70" s="10">
        <v>18000</v>
      </c>
    </row>
    <row r="71" spans="7:8" x14ac:dyDescent="0.25">
      <c r="G71" s="11" t="s">
        <v>193</v>
      </c>
      <c r="H71" s="12">
        <v>13000</v>
      </c>
    </row>
    <row r="72" spans="7:8" x14ac:dyDescent="0.25">
      <c r="G72" s="11" t="s">
        <v>194</v>
      </c>
      <c r="H72" s="12">
        <v>15000</v>
      </c>
    </row>
    <row r="73" spans="7:8" x14ac:dyDescent="0.25">
      <c r="G73" s="11" t="s">
        <v>195</v>
      </c>
      <c r="H73" s="12">
        <v>17000</v>
      </c>
    </row>
    <row r="74" spans="7:8" x14ac:dyDescent="0.25">
      <c r="G74" s="13" t="s">
        <v>196</v>
      </c>
      <c r="H74" s="14">
        <v>13000</v>
      </c>
    </row>
    <row r="75" spans="7:8" x14ac:dyDescent="0.25">
      <c r="G75" s="13" t="s">
        <v>197</v>
      </c>
      <c r="H75" s="14">
        <v>15000</v>
      </c>
    </row>
    <row r="76" spans="7:8" x14ac:dyDescent="0.25">
      <c r="G76" s="13" t="s">
        <v>198</v>
      </c>
      <c r="H76" s="14">
        <v>17000</v>
      </c>
    </row>
    <row r="77" spans="7:8" x14ac:dyDescent="0.25">
      <c r="G77" s="5" t="s">
        <v>199</v>
      </c>
      <c r="H77" s="17">
        <v>15000</v>
      </c>
    </row>
    <row r="78" spans="7:8" x14ac:dyDescent="0.25">
      <c r="G78" s="5" t="s">
        <v>200</v>
      </c>
      <c r="H78" s="17">
        <v>17000</v>
      </c>
    </row>
    <row r="79" spans="7:8" x14ac:dyDescent="0.25">
      <c r="G79" s="5" t="s">
        <v>201</v>
      </c>
      <c r="H79" s="17">
        <v>19000</v>
      </c>
    </row>
    <row r="80" spans="7:8" x14ac:dyDescent="0.25">
      <c r="G80" s="15" t="s">
        <v>202</v>
      </c>
      <c r="H80" s="16">
        <v>13000</v>
      </c>
    </row>
    <row r="81" spans="7:8" x14ac:dyDescent="0.25">
      <c r="G81" s="15" t="s">
        <v>203</v>
      </c>
      <c r="H81" s="16">
        <v>15000</v>
      </c>
    </row>
    <row r="82" spans="7:8" x14ac:dyDescent="0.25">
      <c r="G82" s="15" t="s">
        <v>204</v>
      </c>
      <c r="H82" s="16">
        <v>17000</v>
      </c>
    </row>
    <row r="83" spans="7:8" x14ac:dyDescent="0.25">
      <c r="G83" s="9" t="s">
        <v>205</v>
      </c>
      <c r="H83" s="10">
        <v>20000</v>
      </c>
    </row>
    <row r="84" spans="7:8" x14ac:dyDescent="0.25">
      <c r="G84" s="9" t="s">
        <v>206</v>
      </c>
      <c r="H84" s="10">
        <v>25000</v>
      </c>
    </row>
    <row r="85" spans="7:8" x14ac:dyDescent="0.25">
      <c r="G85" s="9" t="s">
        <v>207</v>
      </c>
      <c r="H85" s="10">
        <v>30000</v>
      </c>
    </row>
    <row r="86" spans="7:8" x14ac:dyDescent="0.25">
      <c r="G86" s="11" t="s">
        <v>208</v>
      </c>
      <c r="H86" s="12">
        <v>15000</v>
      </c>
    </row>
    <row r="87" spans="7:8" x14ac:dyDescent="0.25">
      <c r="G87" s="11" t="s">
        <v>209</v>
      </c>
      <c r="H87" s="12">
        <v>17000</v>
      </c>
    </row>
    <row r="88" spans="7:8" x14ac:dyDescent="0.25">
      <c r="G88" s="11" t="s">
        <v>210</v>
      </c>
      <c r="H88" s="12">
        <v>19000</v>
      </c>
    </row>
    <row r="89" spans="7:8" x14ac:dyDescent="0.25">
      <c r="G89" s="13" t="s">
        <v>211</v>
      </c>
      <c r="H89" s="14">
        <v>15000</v>
      </c>
    </row>
    <row r="90" spans="7:8" x14ac:dyDescent="0.25">
      <c r="G90" s="13" t="s">
        <v>212</v>
      </c>
      <c r="H90" s="14">
        <v>17000</v>
      </c>
    </row>
    <row r="91" spans="7:8" x14ac:dyDescent="0.25">
      <c r="G91" s="13" t="s">
        <v>213</v>
      </c>
      <c r="H91" s="14">
        <v>19000</v>
      </c>
    </row>
    <row r="92" spans="7:8" x14ac:dyDescent="0.25">
      <c r="G92" s="5" t="s">
        <v>214</v>
      </c>
      <c r="H92" s="17">
        <v>15000</v>
      </c>
    </row>
    <row r="93" spans="7:8" x14ac:dyDescent="0.25">
      <c r="G93" s="5" t="s">
        <v>215</v>
      </c>
      <c r="H93" s="17">
        <v>17000</v>
      </c>
    </row>
    <row r="94" spans="7:8" x14ac:dyDescent="0.25">
      <c r="G94" s="5" t="s">
        <v>216</v>
      </c>
      <c r="H94" s="17">
        <v>19000</v>
      </c>
    </row>
    <row r="95" spans="7:8" x14ac:dyDescent="0.25">
      <c r="G95" s="7" t="s">
        <v>217</v>
      </c>
      <c r="H95" s="8">
        <v>15000</v>
      </c>
    </row>
    <row r="96" spans="7:8" x14ac:dyDescent="0.25">
      <c r="G96" s="7" t="s">
        <v>218</v>
      </c>
      <c r="H96" s="8">
        <v>17000</v>
      </c>
    </row>
    <row r="97" spans="7:8" x14ac:dyDescent="0.25">
      <c r="G97" s="7" t="s">
        <v>219</v>
      </c>
      <c r="H97" s="8">
        <v>19000</v>
      </c>
    </row>
    <row r="98" spans="7:8" x14ac:dyDescent="0.25">
      <c r="G98" s="9" t="s">
        <v>220</v>
      </c>
      <c r="H98" s="10">
        <v>12000</v>
      </c>
    </row>
    <row r="99" spans="7:8" x14ac:dyDescent="0.25">
      <c r="G99" s="9" t="s">
        <v>221</v>
      </c>
      <c r="H99" s="10">
        <v>14000</v>
      </c>
    </row>
    <row r="100" spans="7:8" x14ac:dyDescent="0.25">
      <c r="G100" s="9" t="s">
        <v>222</v>
      </c>
      <c r="H100" s="10">
        <v>16000</v>
      </c>
    </row>
    <row r="101" spans="7:8" x14ac:dyDescent="0.25">
      <c r="G101" s="11" t="s">
        <v>223</v>
      </c>
      <c r="H101" s="12">
        <v>12000</v>
      </c>
    </row>
    <row r="102" spans="7:8" x14ac:dyDescent="0.25">
      <c r="G102" s="11" t="s">
        <v>224</v>
      </c>
      <c r="H102" s="12">
        <v>14000</v>
      </c>
    </row>
    <row r="103" spans="7:8" x14ac:dyDescent="0.25">
      <c r="G103" s="11" t="s">
        <v>225</v>
      </c>
      <c r="H103" s="12">
        <v>16000</v>
      </c>
    </row>
    <row r="104" spans="7:8" x14ac:dyDescent="0.25">
      <c r="G104" s="13" t="s">
        <v>226</v>
      </c>
      <c r="H104" s="14">
        <v>12000</v>
      </c>
    </row>
    <row r="105" spans="7:8" x14ac:dyDescent="0.25">
      <c r="G105" s="13" t="s">
        <v>227</v>
      </c>
      <c r="H105" s="14">
        <v>14000</v>
      </c>
    </row>
    <row r="106" spans="7:8" x14ac:dyDescent="0.25">
      <c r="G106" s="13" t="s">
        <v>228</v>
      </c>
      <c r="H106" s="14">
        <v>16000</v>
      </c>
    </row>
    <row r="107" spans="7:8" x14ac:dyDescent="0.25">
      <c r="G107" s="5" t="s">
        <v>229</v>
      </c>
      <c r="H107" s="17">
        <v>12000</v>
      </c>
    </row>
    <row r="108" spans="7:8" x14ac:dyDescent="0.25">
      <c r="G108" s="5" t="s">
        <v>230</v>
      </c>
      <c r="H108" s="17">
        <v>14000</v>
      </c>
    </row>
    <row r="109" spans="7:8" x14ac:dyDescent="0.25">
      <c r="G109" s="5" t="s">
        <v>231</v>
      </c>
      <c r="H109" s="17">
        <v>16000</v>
      </c>
    </row>
    <row r="110" spans="7:8" x14ac:dyDescent="0.25">
      <c r="G110" s="7" t="s">
        <v>232</v>
      </c>
      <c r="H110" s="8">
        <v>17000</v>
      </c>
    </row>
    <row r="111" spans="7:8" x14ac:dyDescent="0.25">
      <c r="G111" s="7" t="s">
        <v>234</v>
      </c>
      <c r="H111" s="8">
        <v>20000</v>
      </c>
    </row>
    <row r="112" spans="7:8" x14ac:dyDescent="0.25">
      <c r="G112" s="7" t="s">
        <v>233</v>
      </c>
      <c r="H112" s="8">
        <v>23000</v>
      </c>
    </row>
    <row r="113" spans="7:8" x14ac:dyDescent="0.25">
      <c r="G113" s="9" t="s">
        <v>235</v>
      </c>
      <c r="H113" s="10">
        <v>17000</v>
      </c>
    </row>
    <row r="114" spans="7:8" x14ac:dyDescent="0.25">
      <c r="G114" s="9" t="s">
        <v>236</v>
      </c>
      <c r="H114" s="10">
        <v>20000</v>
      </c>
    </row>
    <row r="115" spans="7:8" x14ac:dyDescent="0.25">
      <c r="G115" s="9" t="s">
        <v>237</v>
      </c>
      <c r="H115" s="10">
        <v>23000</v>
      </c>
    </row>
    <row r="116" spans="7:8" x14ac:dyDescent="0.25">
      <c r="G116" s="11" t="s">
        <v>238</v>
      </c>
      <c r="H116" s="12">
        <v>17000</v>
      </c>
    </row>
    <row r="117" spans="7:8" x14ac:dyDescent="0.25">
      <c r="G117" s="11" t="s">
        <v>239</v>
      </c>
      <c r="H117" s="12">
        <v>20000</v>
      </c>
    </row>
    <row r="118" spans="7:8" x14ac:dyDescent="0.25">
      <c r="G118" s="11" t="s">
        <v>240</v>
      </c>
      <c r="H118" s="12">
        <v>23000</v>
      </c>
    </row>
    <row r="119" spans="7:8" x14ac:dyDescent="0.25">
      <c r="G119" s="13" t="s">
        <v>241</v>
      </c>
      <c r="H119" s="14">
        <v>17000</v>
      </c>
    </row>
    <row r="120" spans="7:8" x14ac:dyDescent="0.25">
      <c r="G120" s="13" t="s">
        <v>242</v>
      </c>
      <c r="H120" s="14">
        <v>20000</v>
      </c>
    </row>
    <row r="121" spans="7:8" x14ac:dyDescent="0.25">
      <c r="G121" s="13" t="s">
        <v>243</v>
      </c>
      <c r="H121" s="14">
        <v>23000</v>
      </c>
    </row>
    <row r="122" spans="7:8" x14ac:dyDescent="0.25">
      <c r="G122" s="7" t="s">
        <v>244</v>
      </c>
      <c r="H122" s="8">
        <v>15000</v>
      </c>
    </row>
    <row r="123" spans="7:8" x14ac:dyDescent="0.25">
      <c r="G123" s="7" t="s">
        <v>246</v>
      </c>
      <c r="H123" s="8">
        <v>16000</v>
      </c>
    </row>
    <row r="124" spans="7:8" x14ac:dyDescent="0.25">
      <c r="G124" s="7" t="s">
        <v>245</v>
      </c>
      <c r="H124" s="8">
        <v>17000</v>
      </c>
    </row>
    <row r="125" spans="7:8" x14ac:dyDescent="0.25">
      <c r="G125" s="5" t="s">
        <v>247</v>
      </c>
      <c r="H125" s="17">
        <v>15000</v>
      </c>
    </row>
    <row r="126" spans="7:8" x14ac:dyDescent="0.25">
      <c r="G126" s="5" t="s">
        <v>248</v>
      </c>
      <c r="H126" s="17">
        <v>16000</v>
      </c>
    </row>
    <row r="127" spans="7:8" x14ac:dyDescent="0.25">
      <c r="G127" s="5" t="s">
        <v>249</v>
      </c>
      <c r="H127" s="17">
        <v>17000</v>
      </c>
    </row>
    <row r="128" spans="7:8" x14ac:dyDescent="0.25">
      <c r="G128" s="9" t="s">
        <v>250</v>
      </c>
      <c r="H128" s="10">
        <v>15000</v>
      </c>
    </row>
    <row r="129" spans="7:8" x14ac:dyDescent="0.25">
      <c r="G129" s="9" t="s">
        <v>251</v>
      </c>
      <c r="H129" s="10">
        <v>17000</v>
      </c>
    </row>
    <row r="130" spans="7:8" x14ac:dyDescent="0.25">
      <c r="G130" s="9" t="s">
        <v>252</v>
      </c>
      <c r="H130" s="10">
        <v>18000</v>
      </c>
    </row>
    <row r="131" spans="7:8" x14ac:dyDescent="0.25">
      <c r="G131" s="11" t="s">
        <v>253</v>
      </c>
      <c r="H131" s="12">
        <v>15000</v>
      </c>
    </row>
    <row r="132" spans="7:8" x14ac:dyDescent="0.25">
      <c r="G132" s="11" t="s">
        <v>254</v>
      </c>
      <c r="H132" s="12">
        <v>20000</v>
      </c>
    </row>
    <row r="133" spans="7:8" x14ac:dyDescent="0.25">
      <c r="G133" s="11" t="s">
        <v>255</v>
      </c>
      <c r="H133" s="12">
        <v>25000</v>
      </c>
    </row>
    <row r="134" spans="7:8" x14ac:dyDescent="0.25">
      <c r="G134" s="13" t="s">
        <v>256</v>
      </c>
      <c r="H134" s="14">
        <v>15000</v>
      </c>
    </row>
    <row r="135" spans="7:8" x14ac:dyDescent="0.25">
      <c r="G135" s="13" t="s">
        <v>257</v>
      </c>
      <c r="H135" s="14">
        <v>20000</v>
      </c>
    </row>
    <row r="136" spans="7:8" x14ac:dyDescent="0.25">
      <c r="G136" s="13" t="s">
        <v>258</v>
      </c>
      <c r="H136" s="14">
        <v>25000</v>
      </c>
    </row>
    <row r="137" spans="7:8" x14ac:dyDescent="0.25">
      <c r="G137" s="7" t="s">
        <v>259</v>
      </c>
      <c r="H137" s="8">
        <v>15000</v>
      </c>
    </row>
    <row r="138" spans="7:8" x14ac:dyDescent="0.25">
      <c r="G138" s="7" t="s">
        <v>260</v>
      </c>
      <c r="H138" s="8">
        <v>20000</v>
      </c>
    </row>
    <row r="139" spans="7:8" x14ac:dyDescent="0.25">
      <c r="G139" s="7" t="s">
        <v>261</v>
      </c>
      <c r="H139" s="8">
        <v>25000</v>
      </c>
    </row>
    <row r="140" spans="7:8" x14ac:dyDescent="0.25">
      <c r="G140" s="9" t="s">
        <v>262</v>
      </c>
      <c r="H140" s="10">
        <v>15000</v>
      </c>
    </row>
    <row r="141" spans="7:8" x14ac:dyDescent="0.25">
      <c r="G141" s="9" t="s">
        <v>263</v>
      </c>
      <c r="H141" s="10">
        <v>20000</v>
      </c>
    </row>
    <row r="142" spans="7:8" x14ac:dyDescent="0.25">
      <c r="G142" s="9" t="s">
        <v>264</v>
      </c>
      <c r="H142" s="10">
        <v>25000</v>
      </c>
    </row>
    <row r="143" spans="7:8" x14ac:dyDescent="0.25">
      <c r="G143" s="5" t="s">
        <v>265</v>
      </c>
      <c r="H143" s="6">
        <v>11000</v>
      </c>
    </row>
    <row r="144" spans="7:8" x14ac:dyDescent="0.25">
      <c r="G144" s="5" t="s">
        <v>266</v>
      </c>
      <c r="H144" s="6">
        <v>14000</v>
      </c>
    </row>
    <row r="145" spans="7:8" x14ac:dyDescent="0.25">
      <c r="G145" s="5" t="s">
        <v>267</v>
      </c>
      <c r="H145" s="6">
        <v>16000</v>
      </c>
    </row>
  </sheetData>
  <hyperlinks>
    <hyperlink ref="E2" r:id="rId1" xr:uid="{0514F823-BB01-4204-9618-1EAB62D66129}"/>
    <hyperlink ref="E3" r:id="rId2" xr:uid="{B8F99E75-2F14-4F76-A084-0FA9831AB265}"/>
    <hyperlink ref="E4" r:id="rId3" xr:uid="{3124D0C1-4F98-4B2F-BE56-1069AA4E94D3}"/>
    <hyperlink ref="E5" r:id="rId4" xr:uid="{24820654-91D4-4F76-AB3A-71716AC8BB3B}"/>
    <hyperlink ref="E6" r:id="rId5" xr:uid="{BA1E67AE-C749-48C6-8967-4108398FCE69}"/>
    <hyperlink ref="E7" r:id="rId6" xr:uid="{58F44C0A-F8C3-46D9-AE35-1FA3DA51EFD0}"/>
    <hyperlink ref="E8" r:id="rId7" xr:uid="{4AC144F7-88D0-4319-8566-1D992D44C645}"/>
    <hyperlink ref="E9" r:id="rId8" xr:uid="{8016E54C-113D-4B0C-916B-AC14AE938663}"/>
    <hyperlink ref="E10" r:id="rId9" xr:uid="{8941EA07-71E6-4520-A3E7-807AD8BCD4C4}"/>
    <hyperlink ref="E11" r:id="rId10" xr:uid="{8D720B7E-1623-4F1E-BBC4-8FC88721438C}"/>
    <hyperlink ref="E12" r:id="rId11" xr:uid="{84C357E2-4DCA-4438-96D7-58697923EF22}"/>
    <hyperlink ref="E14" r:id="rId12" xr:uid="{72872A31-5EA7-49C1-BB72-BA86D7B2DCA6}"/>
    <hyperlink ref="E13" r:id="rId13" xr:uid="{080526BB-0773-4786-ADAA-49A6EAD34881}"/>
    <hyperlink ref="E16" r:id="rId14" xr:uid="{647FD18F-B3AD-4F9B-B97E-3F0B49EA166E}"/>
    <hyperlink ref="E15" r:id="rId15" xr:uid="{487736CF-CE63-4292-AF47-BCDBDFA170B0}"/>
    <hyperlink ref="E17" r:id="rId16" xr:uid="{AFBE2078-A439-4EEB-88C0-F426FF2C29AD}"/>
    <hyperlink ref="E18" r:id="rId17" xr:uid="{12F2834F-6CF1-4278-B908-64B416C33226}"/>
    <hyperlink ref="E19" r:id="rId18" xr:uid="{3D8FD53C-2B07-4E4D-94B7-A39F881ADB4E}"/>
    <hyperlink ref="E20" r:id="rId19" xr:uid="{C0E3BF0A-AC18-412A-9310-D2BF694F9C5E}"/>
    <hyperlink ref="E21" r:id="rId20" xr:uid="{4DCA584A-830B-468F-965C-293B1AC7B151}"/>
    <hyperlink ref="E22" r:id="rId21" xr:uid="{105BB9D8-A194-4CEC-8B98-158DBC2A1C27}"/>
    <hyperlink ref="E23" r:id="rId22" xr:uid="{F85ED54C-2865-4D81-8157-5362B6347E91}"/>
    <hyperlink ref="E24" r:id="rId23" xr:uid="{CBCF10CF-C0F6-4BFF-AED4-D4770F9C4E3B}"/>
    <hyperlink ref="E25" r:id="rId24" xr:uid="{35E08D3F-743A-4F96-B045-FE27389DB393}"/>
    <hyperlink ref="E26" r:id="rId25" xr:uid="{42BC8F83-0D2B-4FA6-83F3-8085BD77E898}"/>
    <hyperlink ref="E27" r:id="rId26" xr:uid="{7163CBDE-6F8F-4E82-9DCC-7623FB40844C}"/>
    <hyperlink ref="E28" r:id="rId27" xr:uid="{8794AC56-6BCA-4ADE-8728-B499BE0802E0}"/>
    <hyperlink ref="E29" r:id="rId28" xr:uid="{C04ED243-8B91-4BFC-A7E5-A16A87B1300E}"/>
    <hyperlink ref="E30" r:id="rId29" xr:uid="{835FBC65-C36D-4D67-B056-86884C0BC4DA}"/>
    <hyperlink ref="E31" r:id="rId30" xr:uid="{6EE66AD6-445C-4460-8F4E-E2EDF2AB869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EF35-6861-441D-B3DB-4551D7A463F4}">
  <dimension ref="A1:P147"/>
  <sheetViews>
    <sheetView tabSelected="1" topLeftCell="H1" workbookViewId="0">
      <selection activeCell="O6" sqref="O6"/>
    </sheetView>
  </sheetViews>
  <sheetFormatPr baseColWidth="10" defaultRowHeight="15" x14ac:dyDescent="0.25"/>
  <cols>
    <col min="1" max="1" width="17.7109375" bestFit="1" customWidth="1"/>
    <col min="2" max="2" width="17.7109375" customWidth="1"/>
    <col min="3" max="3" width="18.42578125" bestFit="1" customWidth="1"/>
    <col min="4" max="4" width="19.140625" bestFit="1" customWidth="1"/>
    <col min="5" max="5" width="19.7109375" bestFit="1" customWidth="1"/>
    <col min="7" max="7" width="28.140625" bestFit="1" customWidth="1"/>
    <col min="9" max="9" width="58" bestFit="1" customWidth="1"/>
    <col min="10" max="10" width="42.42578125" bestFit="1" customWidth="1"/>
    <col min="11" max="11" width="47.140625" bestFit="1" customWidth="1"/>
    <col min="13" max="13" width="16.140625" bestFit="1" customWidth="1"/>
    <col min="14" max="14" width="35.140625" bestFit="1" customWidth="1"/>
    <col min="15" max="15" width="30" bestFit="1" customWidth="1"/>
    <col min="16" max="16" width="11.85546875" bestFit="1" customWidth="1"/>
  </cols>
  <sheetData>
    <row r="1" spans="1:16" x14ac:dyDescent="0.25">
      <c r="A1" s="4" t="s">
        <v>76</v>
      </c>
      <c r="B1" s="4" t="s">
        <v>393</v>
      </c>
      <c r="C1" s="4" t="s">
        <v>392</v>
      </c>
      <c r="D1" s="4" t="s">
        <v>394</v>
      </c>
      <c r="E1" s="4" t="s">
        <v>0</v>
      </c>
      <c r="F1" s="4" t="s">
        <v>80</v>
      </c>
      <c r="G1" s="4" t="s">
        <v>81</v>
      </c>
      <c r="H1" s="4" t="s">
        <v>1</v>
      </c>
      <c r="I1" s="4" t="s">
        <v>82</v>
      </c>
      <c r="J1" s="4" t="s">
        <v>83</v>
      </c>
      <c r="K1" s="4" t="s">
        <v>312</v>
      </c>
      <c r="L1" s="4" t="s">
        <v>2</v>
      </c>
      <c r="M1" s="4" t="s">
        <v>84</v>
      </c>
      <c r="N1" s="4" t="s">
        <v>85</v>
      </c>
      <c r="O1" s="4" t="s">
        <v>313</v>
      </c>
      <c r="P1" s="4" t="s">
        <v>3</v>
      </c>
    </row>
    <row r="2" spans="1:16" x14ac:dyDescent="0.25">
      <c r="A2" s="33" t="s">
        <v>333</v>
      </c>
      <c r="B2" s="33" t="s">
        <v>334</v>
      </c>
      <c r="C2" s="1" t="s">
        <v>391</v>
      </c>
      <c r="D2" s="1">
        <v>1001234567</v>
      </c>
      <c r="E2" s="2">
        <v>37330</v>
      </c>
      <c r="F2" s="1">
        <v>3004567891</v>
      </c>
      <c r="G2" s="3" t="s">
        <v>104</v>
      </c>
      <c r="H2" s="1">
        <v>2</v>
      </c>
      <c r="I2" s="1" t="s">
        <v>55</v>
      </c>
      <c r="J2" s="1" t="s">
        <v>12</v>
      </c>
      <c r="K2" s="1" t="s">
        <v>5</v>
      </c>
      <c r="L2" s="1" t="s">
        <v>6</v>
      </c>
      <c r="M2" s="1" t="s">
        <v>7</v>
      </c>
      <c r="N2" s="26">
        <v>20000</v>
      </c>
      <c r="O2" s="26">
        <v>2500</v>
      </c>
      <c r="P2" s="26">
        <v>68000</v>
      </c>
    </row>
    <row r="3" spans="1:16" x14ac:dyDescent="0.25">
      <c r="A3" s="33" t="s">
        <v>333</v>
      </c>
      <c r="B3" s="33" t="s">
        <v>334</v>
      </c>
      <c r="C3" s="1" t="s">
        <v>391</v>
      </c>
      <c r="D3" s="1">
        <v>1001234567</v>
      </c>
      <c r="E3" s="2">
        <v>37330</v>
      </c>
      <c r="F3" s="1">
        <v>3004567891</v>
      </c>
      <c r="G3" s="3" t="s">
        <v>104</v>
      </c>
      <c r="H3" s="1">
        <v>1</v>
      </c>
      <c r="I3" s="1" t="s">
        <v>395</v>
      </c>
      <c r="J3" s="1" t="s">
        <v>9</v>
      </c>
      <c r="K3" s="1" t="s">
        <v>270</v>
      </c>
      <c r="L3" s="1" t="s">
        <v>6</v>
      </c>
      <c r="M3" s="1" t="s">
        <v>7</v>
      </c>
      <c r="N3" s="26">
        <v>22000</v>
      </c>
      <c r="O3" s="26">
        <v>1000</v>
      </c>
      <c r="P3" s="26">
        <v>68000</v>
      </c>
    </row>
    <row r="4" spans="1:16" x14ac:dyDescent="0.25">
      <c r="A4" s="33" t="s">
        <v>335</v>
      </c>
      <c r="B4" s="33" t="s">
        <v>336</v>
      </c>
      <c r="C4" s="1" t="s">
        <v>391</v>
      </c>
      <c r="D4" s="1">
        <v>1002345678</v>
      </c>
      <c r="E4" s="2">
        <v>37094</v>
      </c>
      <c r="F4" s="1">
        <v>3015678902</v>
      </c>
      <c r="G4" s="3" t="s">
        <v>105</v>
      </c>
      <c r="H4" s="1">
        <v>1</v>
      </c>
      <c r="I4" s="1" t="s">
        <v>8</v>
      </c>
      <c r="J4" s="1" t="s">
        <v>9</v>
      </c>
      <c r="K4" s="1" t="s">
        <v>300</v>
      </c>
      <c r="L4" s="1" t="s">
        <v>6</v>
      </c>
      <c r="M4" s="1" t="s">
        <v>10</v>
      </c>
      <c r="N4" s="26">
        <v>26000</v>
      </c>
      <c r="O4" s="26">
        <v>2000</v>
      </c>
      <c r="P4" s="26">
        <f>SUM(N4,O4)*H4</f>
        <v>28000</v>
      </c>
    </row>
    <row r="5" spans="1:16" x14ac:dyDescent="0.25">
      <c r="A5" s="33" t="s">
        <v>337</v>
      </c>
      <c r="B5" s="33" t="s">
        <v>338</v>
      </c>
      <c r="C5" s="1" t="s">
        <v>391</v>
      </c>
      <c r="D5" s="1">
        <v>1003456789</v>
      </c>
      <c r="E5" s="2">
        <v>37933</v>
      </c>
      <c r="F5" s="1">
        <v>3026789013</v>
      </c>
      <c r="G5" s="3" t="s">
        <v>106</v>
      </c>
      <c r="H5" s="1">
        <v>3</v>
      </c>
      <c r="I5" s="1" t="s">
        <v>11</v>
      </c>
      <c r="J5" s="1" t="s">
        <v>12</v>
      </c>
      <c r="K5" s="1" t="s">
        <v>300</v>
      </c>
      <c r="L5" s="1" t="s">
        <v>6</v>
      </c>
      <c r="M5" s="1" t="s">
        <v>13</v>
      </c>
      <c r="N5" s="26">
        <v>20000</v>
      </c>
      <c r="O5" s="26">
        <v>2000</v>
      </c>
      <c r="P5" s="26">
        <f>SUM(N5,O5)*H5</f>
        <v>66000</v>
      </c>
    </row>
    <row r="6" spans="1:16" x14ac:dyDescent="0.25">
      <c r="A6" s="33" t="s">
        <v>339</v>
      </c>
      <c r="B6" s="33" t="s">
        <v>340</v>
      </c>
      <c r="C6" s="1" t="s">
        <v>391</v>
      </c>
      <c r="D6" s="1">
        <v>1004567890</v>
      </c>
      <c r="E6" s="2">
        <v>36544</v>
      </c>
      <c r="F6" s="1">
        <v>3037890124</v>
      </c>
      <c r="G6" s="3" t="s">
        <v>107</v>
      </c>
      <c r="H6" s="1">
        <v>1</v>
      </c>
      <c r="I6" s="1" t="s">
        <v>60</v>
      </c>
      <c r="J6" s="1" t="s">
        <v>9</v>
      </c>
      <c r="K6" s="1" t="s">
        <v>278</v>
      </c>
      <c r="L6" s="1" t="s">
        <v>6</v>
      </c>
      <c r="M6" s="1" t="s">
        <v>15</v>
      </c>
      <c r="N6" s="26">
        <v>22000</v>
      </c>
      <c r="O6" s="26">
        <v>1500</v>
      </c>
      <c r="P6" s="26">
        <f t="shared" ref="P6:P32" si="0">SUM(N6,O6)*H6</f>
        <v>23500</v>
      </c>
    </row>
    <row r="7" spans="1:16" x14ac:dyDescent="0.25">
      <c r="A7" s="33" t="s">
        <v>341</v>
      </c>
      <c r="B7" s="33" t="s">
        <v>342</v>
      </c>
      <c r="C7" s="1" t="s">
        <v>391</v>
      </c>
      <c r="D7" s="1">
        <v>1005678901</v>
      </c>
      <c r="E7" s="2">
        <v>37406</v>
      </c>
      <c r="F7" s="1">
        <v>3048901235</v>
      </c>
      <c r="G7" s="3" t="s">
        <v>108</v>
      </c>
      <c r="H7" s="1">
        <v>2.1</v>
      </c>
      <c r="I7" s="1" t="s">
        <v>279</v>
      </c>
      <c r="J7" s="1" t="s">
        <v>4</v>
      </c>
      <c r="K7" s="1" t="s">
        <v>301</v>
      </c>
      <c r="L7" s="1" t="s">
        <v>6</v>
      </c>
      <c r="M7" s="1" t="s">
        <v>17</v>
      </c>
      <c r="N7" s="25" t="s">
        <v>316</v>
      </c>
      <c r="O7" s="25" t="s">
        <v>317</v>
      </c>
      <c r="P7" s="26">
        <v>70000</v>
      </c>
    </row>
    <row r="8" spans="1:16" x14ac:dyDescent="0.25">
      <c r="A8" s="33" t="s">
        <v>343</v>
      </c>
      <c r="B8" s="33" t="s">
        <v>344</v>
      </c>
      <c r="C8" s="1" t="s">
        <v>391</v>
      </c>
      <c r="D8" s="1">
        <v>1006789012</v>
      </c>
      <c r="E8" s="2">
        <v>37146</v>
      </c>
      <c r="F8" s="1">
        <v>3059012346</v>
      </c>
      <c r="G8" s="3" t="s">
        <v>109</v>
      </c>
      <c r="H8" s="1">
        <v>1</v>
      </c>
      <c r="I8" s="1" t="s">
        <v>18</v>
      </c>
      <c r="J8" s="1" t="s">
        <v>9</v>
      </c>
      <c r="K8" s="1" t="s">
        <v>271</v>
      </c>
      <c r="L8" s="1" t="s">
        <v>6</v>
      </c>
      <c r="M8" s="1" t="s">
        <v>19</v>
      </c>
      <c r="N8" s="26">
        <v>28000</v>
      </c>
      <c r="O8" s="26">
        <v>2000</v>
      </c>
      <c r="P8" s="26">
        <f t="shared" si="0"/>
        <v>30000</v>
      </c>
    </row>
    <row r="9" spans="1:16" x14ac:dyDescent="0.25">
      <c r="A9" s="33" t="s">
        <v>345</v>
      </c>
      <c r="B9" s="33" t="s">
        <v>346</v>
      </c>
      <c r="C9" s="1" t="s">
        <v>391</v>
      </c>
      <c r="D9" s="1">
        <v>1007890123</v>
      </c>
      <c r="E9" s="2">
        <v>37980</v>
      </c>
      <c r="F9" s="1">
        <v>3060123457</v>
      </c>
      <c r="G9" s="3" t="s">
        <v>110</v>
      </c>
      <c r="H9" s="23" t="s">
        <v>281</v>
      </c>
      <c r="I9" s="1" t="s">
        <v>280</v>
      </c>
      <c r="J9" s="1" t="s">
        <v>292</v>
      </c>
      <c r="K9" s="1" t="s">
        <v>302</v>
      </c>
      <c r="L9" s="1" t="s">
        <v>6</v>
      </c>
      <c r="M9" s="1" t="s">
        <v>21</v>
      </c>
      <c r="N9" s="25" t="s">
        <v>318</v>
      </c>
      <c r="O9" s="25" t="s">
        <v>319</v>
      </c>
      <c r="P9" s="26">
        <v>120000</v>
      </c>
    </row>
    <row r="10" spans="1:16" x14ac:dyDescent="0.25">
      <c r="A10" s="33" t="s">
        <v>347</v>
      </c>
      <c r="B10" s="33" t="s">
        <v>348</v>
      </c>
      <c r="C10" s="1" t="s">
        <v>391</v>
      </c>
      <c r="D10" s="1">
        <v>1008901234</v>
      </c>
      <c r="E10" s="2">
        <v>37290</v>
      </c>
      <c r="F10" s="1">
        <v>3071234568</v>
      </c>
      <c r="G10" s="3" t="s">
        <v>111</v>
      </c>
      <c r="H10" s="1">
        <v>1.1000000000000001</v>
      </c>
      <c r="I10" s="1" t="s">
        <v>282</v>
      </c>
      <c r="J10" s="1" t="s">
        <v>293</v>
      </c>
      <c r="K10" s="1" t="s">
        <v>303</v>
      </c>
      <c r="L10" s="1" t="s">
        <v>6</v>
      </c>
      <c r="M10" s="1" t="s">
        <v>23</v>
      </c>
      <c r="N10" s="25" t="s">
        <v>321</v>
      </c>
      <c r="O10" s="25" t="s">
        <v>322</v>
      </c>
      <c r="P10" s="26">
        <v>30500</v>
      </c>
    </row>
    <row r="11" spans="1:16" x14ac:dyDescent="0.25">
      <c r="A11" s="33" t="s">
        <v>349</v>
      </c>
      <c r="B11" s="33" t="s">
        <v>350</v>
      </c>
      <c r="C11" s="1" t="s">
        <v>391</v>
      </c>
      <c r="D11" s="1">
        <v>1009012345</v>
      </c>
      <c r="E11" s="2">
        <v>36694</v>
      </c>
      <c r="F11" s="1">
        <v>3082345679</v>
      </c>
      <c r="G11" s="3" t="s">
        <v>112</v>
      </c>
      <c r="H11" s="1">
        <v>3</v>
      </c>
      <c r="I11" s="1" t="s">
        <v>24</v>
      </c>
      <c r="J11" s="1" t="s">
        <v>9</v>
      </c>
      <c r="K11" s="1" t="s">
        <v>270</v>
      </c>
      <c r="L11" s="1" t="s">
        <v>6</v>
      </c>
      <c r="M11" s="1" t="s">
        <v>26</v>
      </c>
      <c r="N11" s="26">
        <v>25000</v>
      </c>
      <c r="O11" s="26">
        <v>1000</v>
      </c>
      <c r="P11" s="26">
        <f t="shared" si="0"/>
        <v>78000</v>
      </c>
    </row>
    <row r="12" spans="1:16" x14ac:dyDescent="0.25">
      <c r="A12" s="33" t="s">
        <v>351</v>
      </c>
      <c r="B12" s="33" t="s">
        <v>352</v>
      </c>
      <c r="C12" s="1" t="s">
        <v>391</v>
      </c>
      <c r="D12" s="1">
        <v>1010123456</v>
      </c>
      <c r="E12" s="2">
        <v>37922</v>
      </c>
      <c r="F12" s="1">
        <v>3093456780</v>
      </c>
      <c r="G12" s="3" t="s">
        <v>113</v>
      </c>
      <c r="H12" s="1">
        <v>2.1</v>
      </c>
      <c r="I12" s="1" t="s">
        <v>284</v>
      </c>
      <c r="J12" s="1" t="s">
        <v>294</v>
      </c>
      <c r="K12" s="1" t="s">
        <v>304</v>
      </c>
      <c r="L12" s="1" t="s">
        <v>6</v>
      </c>
      <c r="M12" s="1" t="s">
        <v>29</v>
      </c>
      <c r="N12" s="26" t="s">
        <v>320</v>
      </c>
      <c r="O12" s="25" t="s">
        <v>322</v>
      </c>
      <c r="P12" s="26">
        <v>49000</v>
      </c>
    </row>
    <row r="13" spans="1:16" x14ac:dyDescent="0.25">
      <c r="A13" s="33" t="s">
        <v>353</v>
      </c>
      <c r="B13" s="33" t="s">
        <v>354</v>
      </c>
      <c r="C13" s="1" t="s">
        <v>391</v>
      </c>
      <c r="D13" s="1">
        <v>1011234567</v>
      </c>
      <c r="E13" s="2">
        <v>36992</v>
      </c>
      <c r="F13" s="1">
        <v>3104567891</v>
      </c>
      <c r="G13" s="3" t="s">
        <v>30</v>
      </c>
      <c r="H13" s="1">
        <v>1</v>
      </c>
      <c r="I13" s="1" t="s">
        <v>116</v>
      </c>
      <c r="J13" s="1" t="s">
        <v>31</v>
      </c>
      <c r="K13" s="1" t="s">
        <v>20</v>
      </c>
      <c r="L13" s="1" t="s">
        <v>6</v>
      </c>
      <c r="M13" s="1" t="s">
        <v>32</v>
      </c>
      <c r="N13" s="26">
        <v>15000</v>
      </c>
      <c r="O13" s="26">
        <v>1500</v>
      </c>
      <c r="P13" s="26">
        <f t="shared" si="0"/>
        <v>16500</v>
      </c>
    </row>
    <row r="14" spans="1:16" x14ac:dyDescent="0.25">
      <c r="A14" s="33" t="s">
        <v>355</v>
      </c>
      <c r="B14" s="33" t="s">
        <v>356</v>
      </c>
      <c r="C14" s="1" t="s">
        <v>391</v>
      </c>
      <c r="D14" s="1">
        <v>1012345678</v>
      </c>
      <c r="E14" s="2">
        <v>37474</v>
      </c>
      <c r="F14" s="1">
        <v>3115678902</v>
      </c>
      <c r="G14" s="3" t="s">
        <v>156</v>
      </c>
      <c r="H14" s="1">
        <v>2.2999999999999998</v>
      </c>
      <c r="I14" s="1" t="s">
        <v>285</v>
      </c>
      <c r="J14" s="1" t="s">
        <v>295</v>
      </c>
      <c r="K14" s="1" t="s">
        <v>305</v>
      </c>
      <c r="L14" s="1" t="s">
        <v>6</v>
      </c>
      <c r="M14" s="1" t="s">
        <v>33</v>
      </c>
      <c r="N14" s="25" t="s">
        <v>323</v>
      </c>
      <c r="O14" s="25" t="s">
        <v>324</v>
      </c>
      <c r="P14" s="26">
        <v>99000</v>
      </c>
    </row>
    <row r="15" spans="1:16" x14ac:dyDescent="0.25">
      <c r="A15" s="33" t="s">
        <v>357</v>
      </c>
      <c r="B15" s="33" t="s">
        <v>358</v>
      </c>
      <c r="C15" s="1" t="s">
        <v>391</v>
      </c>
      <c r="D15" s="1">
        <v>1013456789</v>
      </c>
      <c r="E15" s="2">
        <v>38009</v>
      </c>
      <c r="F15" s="1">
        <v>3126789013</v>
      </c>
      <c r="G15" s="3" t="s">
        <v>34</v>
      </c>
      <c r="H15" s="1">
        <v>1</v>
      </c>
      <c r="I15" s="1" t="s">
        <v>121</v>
      </c>
      <c r="J15" s="1" t="s">
        <v>12</v>
      </c>
      <c r="K15" s="1" t="s">
        <v>14</v>
      </c>
      <c r="L15" s="1" t="s">
        <v>6</v>
      </c>
      <c r="M15" s="1" t="s">
        <v>35</v>
      </c>
      <c r="N15" s="26">
        <v>25000</v>
      </c>
      <c r="O15" s="26">
        <v>1500</v>
      </c>
      <c r="P15" s="26">
        <f t="shared" si="0"/>
        <v>26500</v>
      </c>
    </row>
    <row r="16" spans="1:16" x14ac:dyDescent="0.25">
      <c r="A16" s="33" t="s">
        <v>359</v>
      </c>
      <c r="B16" s="33" t="s">
        <v>350</v>
      </c>
      <c r="C16" s="1" t="s">
        <v>391</v>
      </c>
      <c r="D16" s="1">
        <v>1014567890</v>
      </c>
      <c r="E16" s="2">
        <v>37025</v>
      </c>
      <c r="F16" s="1">
        <v>3137890124</v>
      </c>
      <c r="G16" s="3" t="s">
        <v>36</v>
      </c>
      <c r="H16" s="1">
        <v>3.4</v>
      </c>
      <c r="I16" s="1" t="s">
        <v>286</v>
      </c>
      <c r="J16" s="1" t="s">
        <v>296</v>
      </c>
      <c r="K16" s="1" t="s">
        <v>301</v>
      </c>
      <c r="L16" s="1" t="s">
        <v>6</v>
      </c>
      <c r="M16" s="1" t="s">
        <v>37</v>
      </c>
      <c r="N16" s="25" t="s">
        <v>325</v>
      </c>
      <c r="O16" s="25" t="s">
        <v>317</v>
      </c>
      <c r="P16" s="26">
        <v>173500</v>
      </c>
    </row>
    <row r="17" spans="1:16" x14ac:dyDescent="0.25">
      <c r="A17" s="33" t="s">
        <v>360</v>
      </c>
      <c r="B17" s="33" t="s">
        <v>361</v>
      </c>
      <c r="C17" s="1" t="s">
        <v>391</v>
      </c>
      <c r="D17" s="1">
        <v>1015678901</v>
      </c>
      <c r="E17" s="2">
        <v>37903</v>
      </c>
      <c r="F17" s="1">
        <v>3148901235</v>
      </c>
      <c r="G17" s="3" t="s">
        <v>38</v>
      </c>
      <c r="H17" s="1">
        <v>2</v>
      </c>
      <c r="I17" s="1" t="s">
        <v>39</v>
      </c>
      <c r="J17" s="1" t="s">
        <v>12</v>
      </c>
      <c r="K17" s="1" t="s">
        <v>20</v>
      </c>
      <c r="L17" s="1" t="s">
        <v>6</v>
      </c>
      <c r="M17" s="1" t="s">
        <v>40</v>
      </c>
      <c r="N17" s="26">
        <v>14000</v>
      </c>
      <c r="O17" s="26">
        <v>1500</v>
      </c>
      <c r="P17" s="26">
        <f t="shared" si="0"/>
        <v>31000</v>
      </c>
    </row>
    <row r="18" spans="1:16" x14ac:dyDescent="0.25">
      <c r="A18" s="33" t="s">
        <v>362</v>
      </c>
      <c r="B18" s="33" t="s">
        <v>363</v>
      </c>
      <c r="C18" s="1" t="s">
        <v>391</v>
      </c>
      <c r="D18" s="1">
        <v>1016789012</v>
      </c>
      <c r="E18" s="2">
        <v>36583</v>
      </c>
      <c r="F18" s="1">
        <v>3159012346</v>
      </c>
      <c r="G18" s="3" t="s">
        <v>41</v>
      </c>
      <c r="H18" s="1">
        <v>1</v>
      </c>
      <c r="I18" s="1" t="s">
        <v>42</v>
      </c>
      <c r="J18" s="1" t="s">
        <v>9</v>
      </c>
      <c r="K18" s="1" t="s">
        <v>16</v>
      </c>
      <c r="L18" s="1" t="s">
        <v>6</v>
      </c>
      <c r="M18" s="1" t="s">
        <v>43</v>
      </c>
      <c r="N18" s="26">
        <v>18000</v>
      </c>
      <c r="O18" s="26">
        <v>1500</v>
      </c>
      <c r="P18" s="26">
        <f t="shared" si="0"/>
        <v>19500</v>
      </c>
    </row>
    <row r="19" spans="1:16" x14ac:dyDescent="0.25">
      <c r="A19" s="33" t="s">
        <v>364</v>
      </c>
      <c r="B19" s="33" t="s">
        <v>365</v>
      </c>
      <c r="C19" s="1" t="s">
        <v>391</v>
      </c>
      <c r="D19" s="1">
        <v>1017890123</v>
      </c>
      <c r="E19" s="2">
        <v>37608</v>
      </c>
      <c r="F19" s="1">
        <v>3160123457</v>
      </c>
      <c r="G19" s="3" t="s">
        <v>44</v>
      </c>
      <c r="H19" s="1">
        <v>2</v>
      </c>
      <c r="I19" s="1" t="s">
        <v>45</v>
      </c>
      <c r="J19" s="1" t="s">
        <v>12</v>
      </c>
      <c r="K19" s="1" t="s">
        <v>28</v>
      </c>
      <c r="L19" s="1" t="s">
        <v>6</v>
      </c>
      <c r="M19" s="1" t="s">
        <v>46</v>
      </c>
      <c r="N19" s="26">
        <v>16000</v>
      </c>
      <c r="O19" s="26">
        <v>1500</v>
      </c>
      <c r="P19" s="26">
        <f t="shared" si="0"/>
        <v>35000</v>
      </c>
    </row>
    <row r="20" spans="1:16" x14ac:dyDescent="0.25">
      <c r="A20" s="33" t="s">
        <v>366</v>
      </c>
      <c r="B20" s="33" t="s">
        <v>367</v>
      </c>
      <c r="C20" s="1" t="s">
        <v>391</v>
      </c>
      <c r="D20" s="1">
        <v>1018901234</v>
      </c>
      <c r="E20" s="2">
        <v>37047</v>
      </c>
      <c r="F20" s="1">
        <v>3171234568</v>
      </c>
      <c r="G20" s="3" t="s">
        <v>283</v>
      </c>
      <c r="H20" s="1">
        <v>1.2</v>
      </c>
      <c r="I20" s="1" t="s">
        <v>306</v>
      </c>
      <c r="J20" s="1" t="s">
        <v>297</v>
      </c>
      <c r="K20" s="1" t="s">
        <v>307</v>
      </c>
      <c r="L20" s="1" t="s">
        <v>6</v>
      </c>
      <c r="M20" s="1" t="s">
        <v>47</v>
      </c>
      <c r="N20" s="25" t="s">
        <v>326</v>
      </c>
      <c r="O20" s="25" t="s">
        <v>327</v>
      </c>
      <c r="P20" s="26">
        <v>52000</v>
      </c>
    </row>
    <row r="21" spans="1:16" x14ac:dyDescent="0.25">
      <c r="A21" s="33" t="s">
        <v>368</v>
      </c>
      <c r="B21" s="33" t="s">
        <v>369</v>
      </c>
      <c r="C21" s="1" t="s">
        <v>391</v>
      </c>
      <c r="D21" s="1">
        <v>1019012345</v>
      </c>
      <c r="E21" s="2">
        <v>37885</v>
      </c>
      <c r="F21" s="1">
        <v>3182345679</v>
      </c>
      <c r="G21" s="3" t="s">
        <v>48</v>
      </c>
      <c r="H21" s="1">
        <v>2</v>
      </c>
      <c r="I21" s="1" t="s">
        <v>49</v>
      </c>
      <c r="J21" s="1" t="s">
        <v>9</v>
      </c>
      <c r="K21" s="24" t="s">
        <v>270</v>
      </c>
      <c r="L21" s="1" t="s">
        <v>6</v>
      </c>
      <c r="M21" s="1" t="s">
        <v>50</v>
      </c>
      <c r="N21" s="26">
        <v>23000</v>
      </c>
      <c r="O21" s="26">
        <v>1000</v>
      </c>
      <c r="P21" s="26">
        <f t="shared" si="0"/>
        <v>48000</v>
      </c>
    </row>
    <row r="22" spans="1:16" x14ac:dyDescent="0.25">
      <c r="A22" s="33" t="s">
        <v>370</v>
      </c>
      <c r="B22" s="33" t="s">
        <v>371</v>
      </c>
      <c r="C22" s="1" t="s">
        <v>391</v>
      </c>
      <c r="D22" s="1">
        <v>1020123456</v>
      </c>
      <c r="E22" s="2">
        <v>37331</v>
      </c>
      <c r="F22" s="1">
        <v>3193456780</v>
      </c>
      <c r="G22" s="3" t="s">
        <v>51</v>
      </c>
      <c r="H22" s="1">
        <v>1</v>
      </c>
      <c r="I22" s="1" t="s">
        <v>52</v>
      </c>
      <c r="J22" s="1" t="s">
        <v>12</v>
      </c>
      <c r="K22" s="1" t="s">
        <v>271</v>
      </c>
      <c r="L22" s="1" t="s">
        <v>6</v>
      </c>
      <c r="M22" s="1" t="s">
        <v>53</v>
      </c>
      <c r="N22" s="26">
        <v>14000</v>
      </c>
      <c r="O22" s="26">
        <v>2000</v>
      </c>
      <c r="P22" s="26">
        <f t="shared" si="0"/>
        <v>16000</v>
      </c>
    </row>
    <row r="23" spans="1:16" x14ac:dyDescent="0.25">
      <c r="A23" s="33" t="s">
        <v>343</v>
      </c>
      <c r="B23" s="33" t="s">
        <v>372</v>
      </c>
      <c r="C23" s="1" t="s">
        <v>391</v>
      </c>
      <c r="D23" s="1">
        <v>1021234567</v>
      </c>
      <c r="E23" s="2">
        <v>36736</v>
      </c>
      <c r="F23" s="1">
        <v>3005678901</v>
      </c>
      <c r="G23" s="3" t="s">
        <v>54</v>
      </c>
      <c r="H23" s="1">
        <v>3</v>
      </c>
      <c r="I23" s="1" t="s">
        <v>55</v>
      </c>
      <c r="J23" s="1" t="s">
        <v>9</v>
      </c>
      <c r="K23" s="1" t="s">
        <v>308</v>
      </c>
      <c r="L23" s="1" t="s">
        <v>6</v>
      </c>
      <c r="M23" s="1" t="s">
        <v>56</v>
      </c>
      <c r="N23" s="26">
        <v>23000</v>
      </c>
      <c r="O23" s="26">
        <v>1500</v>
      </c>
      <c r="P23" s="26">
        <f t="shared" si="0"/>
        <v>73500</v>
      </c>
    </row>
    <row r="24" spans="1:16" x14ac:dyDescent="0.25">
      <c r="A24" s="33" t="s">
        <v>373</v>
      </c>
      <c r="B24" s="33" t="s">
        <v>374</v>
      </c>
      <c r="C24" s="1" t="s">
        <v>391</v>
      </c>
      <c r="D24" s="1">
        <v>1022345678</v>
      </c>
      <c r="E24" s="2">
        <v>37205</v>
      </c>
      <c r="F24" s="1">
        <v>3016789012</v>
      </c>
      <c r="G24" s="3" t="s">
        <v>57</v>
      </c>
      <c r="H24" s="23" t="s">
        <v>287</v>
      </c>
      <c r="I24" s="1" t="s">
        <v>288</v>
      </c>
      <c r="J24" s="1" t="s">
        <v>298</v>
      </c>
      <c r="K24" s="1" t="s">
        <v>309</v>
      </c>
      <c r="L24" s="1" t="s">
        <v>6</v>
      </c>
      <c r="M24" s="1" t="s">
        <v>58</v>
      </c>
      <c r="N24" s="25" t="s">
        <v>328</v>
      </c>
      <c r="O24" s="25" t="s">
        <v>329</v>
      </c>
      <c r="P24" s="26">
        <v>311000</v>
      </c>
    </row>
    <row r="25" spans="1:16" x14ac:dyDescent="0.25">
      <c r="A25" s="33" t="s">
        <v>375</v>
      </c>
      <c r="B25" s="33" t="s">
        <v>376</v>
      </c>
      <c r="C25" s="1" t="s">
        <v>391</v>
      </c>
      <c r="D25" s="1">
        <v>1023456789</v>
      </c>
      <c r="E25" s="2">
        <v>37735</v>
      </c>
      <c r="F25" s="1">
        <v>3027890123</v>
      </c>
      <c r="G25" s="3" t="s">
        <v>59</v>
      </c>
      <c r="H25" s="1">
        <v>1</v>
      </c>
      <c r="I25" s="1" t="s">
        <v>60</v>
      </c>
      <c r="J25" s="1" t="s">
        <v>12</v>
      </c>
      <c r="K25" s="1" t="s">
        <v>278</v>
      </c>
      <c r="L25" s="1" t="s">
        <v>6</v>
      </c>
      <c r="M25" s="1" t="s">
        <v>61</v>
      </c>
      <c r="N25" s="26">
        <v>16000</v>
      </c>
      <c r="O25" s="26">
        <v>1500</v>
      </c>
      <c r="P25" s="26">
        <f t="shared" si="0"/>
        <v>17500</v>
      </c>
    </row>
    <row r="26" spans="1:16" x14ac:dyDescent="0.25">
      <c r="A26" s="33" t="s">
        <v>377</v>
      </c>
      <c r="B26" s="33" t="s">
        <v>378</v>
      </c>
      <c r="C26" s="1" t="s">
        <v>391</v>
      </c>
      <c r="D26" s="1">
        <v>1024567890</v>
      </c>
      <c r="E26" s="2">
        <v>37263</v>
      </c>
      <c r="F26" s="1">
        <v>3038901234</v>
      </c>
      <c r="G26" s="3" t="s">
        <v>62</v>
      </c>
      <c r="H26" s="1">
        <v>2</v>
      </c>
      <c r="I26" s="1" t="s">
        <v>18</v>
      </c>
      <c r="J26" s="1" t="s">
        <v>9</v>
      </c>
      <c r="K26" s="1" t="s">
        <v>20</v>
      </c>
      <c r="L26" s="1" t="s">
        <v>6</v>
      </c>
      <c r="M26" s="1" t="s">
        <v>63</v>
      </c>
      <c r="N26" s="26">
        <v>28000</v>
      </c>
      <c r="O26" s="26">
        <v>1500</v>
      </c>
      <c r="P26" s="26">
        <f t="shared" si="0"/>
        <v>59000</v>
      </c>
    </row>
    <row r="27" spans="1:16" x14ac:dyDescent="0.25">
      <c r="A27" s="33" t="s">
        <v>379</v>
      </c>
      <c r="B27" s="33" t="s">
        <v>380</v>
      </c>
      <c r="C27" s="1" t="s">
        <v>391</v>
      </c>
      <c r="D27" s="1">
        <v>1025678901</v>
      </c>
      <c r="E27" s="2">
        <v>36751</v>
      </c>
      <c r="F27" s="1">
        <v>3049012345</v>
      </c>
      <c r="G27" s="3" t="s">
        <v>64</v>
      </c>
      <c r="H27" s="1">
        <v>1.3</v>
      </c>
      <c r="I27" s="1" t="s">
        <v>289</v>
      </c>
      <c r="J27" s="1" t="s">
        <v>293</v>
      </c>
      <c r="K27" s="1" t="s">
        <v>310</v>
      </c>
      <c r="L27" s="1" t="s">
        <v>6</v>
      </c>
      <c r="M27" s="1" t="s">
        <v>65</v>
      </c>
      <c r="N27" s="25" t="s">
        <v>330</v>
      </c>
      <c r="O27" s="25" t="s">
        <v>331</v>
      </c>
      <c r="P27" s="26">
        <v>88000</v>
      </c>
    </row>
    <row r="28" spans="1:16" x14ac:dyDescent="0.25">
      <c r="A28" s="33" t="s">
        <v>381</v>
      </c>
      <c r="B28" s="33" t="s">
        <v>382</v>
      </c>
      <c r="C28" s="1" t="s">
        <v>391</v>
      </c>
      <c r="D28" s="1">
        <v>1026789012</v>
      </c>
      <c r="E28" s="2">
        <v>37767</v>
      </c>
      <c r="F28" s="1">
        <v>3050123456</v>
      </c>
      <c r="G28" s="3" t="s">
        <v>66</v>
      </c>
      <c r="H28" s="1">
        <v>3</v>
      </c>
      <c r="I28" s="1" t="s">
        <v>27</v>
      </c>
      <c r="J28" s="1" t="s">
        <v>9</v>
      </c>
      <c r="K28" s="1" t="s">
        <v>278</v>
      </c>
      <c r="L28" s="1" t="s">
        <v>6</v>
      </c>
      <c r="M28" s="1" t="s">
        <v>67</v>
      </c>
      <c r="N28" s="26">
        <v>17000</v>
      </c>
      <c r="O28" s="26">
        <v>1500</v>
      </c>
      <c r="P28" s="26">
        <f t="shared" si="0"/>
        <v>55500</v>
      </c>
    </row>
    <row r="29" spans="1:16" x14ac:dyDescent="0.25">
      <c r="A29" s="33" t="s">
        <v>383</v>
      </c>
      <c r="B29" s="33" t="s">
        <v>384</v>
      </c>
      <c r="C29" s="1" t="s">
        <v>391</v>
      </c>
      <c r="D29" s="1">
        <v>1027890123</v>
      </c>
      <c r="E29" s="2">
        <v>37227</v>
      </c>
      <c r="F29" s="1">
        <v>3061234567</v>
      </c>
      <c r="G29" s="3" t="s">
        <v>68</v>
      </c>
      <c r="H29" s="1">
        <v>2</v>
      </c>
      <c r="I29" s="1" t="s">
        <v>121</v>
      </c>
      <c r="J29" s="1" t="s">
        <v>9</v>
      </c>
      <c r="K29" s="1" t="s">
        <v>5</v>
      </c>
      <c r="L29" s="1" t="s">
        <v>6</v>
      </c>
      <c r="M29" s="1" t="s">
        <v>69</v>
      </c>
      <c r="N29" s="26">
        <v>30000</v>
      </c>
      <c r="O29" s="26">
        <v>2500</v>
      </c>
      <c r="P29" s="26">
        <f t="shared" si="0"/>
        <v>65000</v>
      </c>
    </row>
    <row r="30" spans="1:16" x14ac:dyDescent="0.25">
      <c r="A30" s="33" t="s">
        <v>385</v>
      </c>
      <c r="B30" s="33" t="s">
        <v>386</v>
      </c>
      <c r="C30" s="1" t="s">
        <v>391</v>
      </c>
      <c r="D30" s="1">
        <v>1028901234</v>
      </c>
      <c r="E30" s="2">
        <v>38158</v>
      </c>
      <c r="F30" s="1">
        <v>3072345678</v>
      </c>
      <c r="G30" s="3" t="s">
        <v>70</v>
      </c>
      <c r="H30" s="1">
        <v>1.1000000000000001</v>
      </c>
      <c r="I30" s="1" t="s">
        <v>290</v>
      </c>
      <c r="J30" s="1" t="s">
        <v>294</v>
      </c>
      <c r="K30" s="1" t="s">
        <v>299</v>
      </c>
      <c r="L30" s="1" t="s">
        <v>6</v>
      </c>
      <c r="M30" s="1" t="s">
        <v>71</v>
      </c>
      <c r="N30" s="25" t="s">
        <v>326</v>
      </c>
      <c r="O30" s="25" t="s">
        <v>315</v>
      </c>
      <c r="P30" s="26">
        <v>35500</v>
      </c>
    </row>
    <row r="31" spans="1:16" x14ac:dyDescent="0.25">
      <c r="A31" s="33" t="s">
        <v>387</v>
      </c>
      <c r="B31" s="33" t="s">
        <v>388</v>
      </c>
      <c r="C31" s="1" t="s">
        <v>391</v>
      </c>
      <c r="D31" s="1">
        <v>1029012345</v>
      </c>
      <c r="E31" s="2">
        <v>37560</v>
      </c>
      <c r="F31" s="1">
        <v>3083456789</v>
      </c>
      <c r="G31" s="3" t="s">
        <v>72</v>
      </c>
      <c r="H31" s="1">
        <v>2.1</v>
      </c>
      <c r="I31" s="1" t="s">
        <v>291</v>
      </c>
      <c r="J31" s="1" t="s">
        <v>296</v>
      </c>
      <c r="K31" s="1" t="s">
        <v>311</v>
      </c>
      <c r="L31" s="1" t="s">
        <v>6</v>
      </c>
      <c r="M31" s="1" t="s">
        <v>73</v>
      </c>
      <c r="N31" s="25" t="s">
        <v>332</v>
      </c>
      <c r="O31" s="25" t="s">
        <v>331</v>
      </c>
      <c r="P31" s="26">
        <v>58000</v>
      </c>
    </row>
    <row r="32" spans="1:16" x14ac:dyDescent="0.25">
      <c r="A32" s="33" t="s">
        <v>389</v>
      </c>
      <c r="B32" s="33" t="s">
        <v>390</v>
      </c>
      <c r="C32" s="1" t="s">
        <v>391</v>
      </c>
      <c r="D32" s="1">
        <v>1030123456</v>
      </c>
      <c r="E32" s="2">
        <v>36931</v>
      </c>
      <c r="F32" s="1">
        <v>3094567890</v>
      </c>
      <c r="G32" s="3" t="s">
        <v>74</v>
      </c>
      <c r="H32" s="1">
        <v>1</v>
      </c>
      <c r="I32" s="1" t="s">
        <v>11</v>
      </c>
      <c r="J32" s="1" t="s">
        <v>9</v>
      </c>
      <c r="K32" s="1" t="s">
        <v>271</v>
      </c>
      <c r="L32" s="1" t="s">
        <v>6</v>
      </c>
      <c r="M32" s="1" t="s">
        <v>75</v>
      </c>
      <c r="N32" s="26">
        <v>25000</v>
      </c>
      <c r="O32" s="26">
        <v>2000</v>
      </c>
      <c r="P32" s="26">
        <f t="shared" si="0"/>
        <v>27000</v>
      </c>
    </row>
    <row r="35" spans="8:13" x14ac:dyDescent="0.25">
      <c r="H35" s="27"/>
      <c r="I35" s="27"/>
      <c r="J35" s="27"/>
      <c r="K35" s="27"/>
      <c r="L35" s="27"/>
      <c r="M35" s="27"/>
    </row>
    <row r="36" spans="8:13" x14ac:dyDescent="0.25">
      <c r="H36" s="27"/>
      <c r="I36" s="28"/>
      <c r="J36" s="29"/>
      <c r="K36" s="27"/>
      <c r="L36" s="28"/>
      <c r="M36" s="27"/>
    </row>
    <row r="37" spans="8:13" x14ac:dyDescent="0.25">
      <c r="H37" s="27"/>
      <c r="I37" s="28"/>
      <c r="J37" s="29"/>
      <c r="K37" s="27"/>
      <c r="L37" s="30"/>
      <c r="M37" s="31"/>
    </row>
    <row r="38" spans="8:13" x14ac:dyDescent="0.25">
      <c r="H38" s="27"/>
      <c r="I38" s="28"/>
      <c r="J38" s="29"/>
      <c r="K38" s="27"/>
      <c r="L38" s="30"/>
      <c r="M38" s="31"/>
    </row>
    <row r="39" spans="8:13" x14ac:dyDescent="0.25">
      <c r="H39" s="27"/>
      <c r="I39" s="28"/>
      <c r="J39" s="29"/>
      <c r="K39" s="27"/>
      <c r="L39" s="30"/>
      <c r="M39" s="31"/>
    </row>
    <row r="40" spans="8:13" x14ac:dyDescent="0.25">
      <c r="H40" s="27"/>
      <c r="I40" s="28"/>
      <c r="J40" s="29"/>
      <c r="K40" s="27"/>
      <c r="L40" s="30"/>
      <c r="M40" s="31"/>
    </row>
    <row r="41" spans="8:13" x14ac:dyDescent="0.25">
      <c r="H41" s="27"/>
      <c r="I41" s="28"/>
      <c r="J41" s="29"/>
      <c r="K41" s="27"/>
      <c r="L41" s="30"/>
      <c r="M41" s="31"/>
    </row>
    <row r="42" spans="8:13" x14ac:dyDescent="0.25">
      <c r="H42" s="27"/>
      <c r="I42" s="28"/>
      <c r="J42" s="29"/>
      <c r="K42" s="27"/>
      <c r="L42" s="30"/>
      <c r="M42" s="31"/>
    </row>
    <row r="43" spans="8:13" x14ac:dyDescent="0.25">
      <c r="H43" s="27"/>
      <c r="I43" s="28"/>
      <c r="J43" s="29"/>
      <c r="K43" s="27"/>
      <c r="L43" s="30"/>
      <c r="M43" s="31"/>
    </row>
    <row r="44" spans="8:13" x14ac:dyDescent="0.25">
      <c r="H44" s="27"/>
      <c r="I44" s="28"/>
      <c r="J44" s="29"/>
      <c r="K44" s="27"/>
      <c r="L44" s="30"/>
      <c r="M44" s="31"/>
    </row>
    <row r="45" spans="8:13" x14ac:dyDescent="0.25">
      <c r="H45" s="27"/>
      <c r="I45" s="28"/>
      <c r="J45" s="29"/>
      <c r="K45" s="27"/>
      <c r="L45" s="30"/>
      <c r="M45" s="31"/>
    </row>
    <row r="46" spans="8:13" x14ac:dyDescent="0.25">
      <c r="H46" s="27"/>
      <c r="I46" s="28"/>
      <c r="J46" s="29"/>
      <c r="K46" s="27"/>
      <c r="L46" s="32"/>
      <c r="M46" s="31"/>
    </row>
    <row r="47" spans="8:13" x14ac:dyDescent="0.25">
      <c r="H47" s="27"/>
      <c r="I47" s="28"/>
      <c r="J47" s="29"/>
      <c r="K47" s="27"/>
      <c r="L47" s="32"/>
      <c r="M47" s="31"/>
    </row>
    <row r="48" spans="8:13" x14ac:dyDescent="0.25">
      <c r="H48" s="27"/>
      <c r="I48" s="28"/>
      <c r="J48" s="29"/>
      <c r="K48" s="27"/>
      <c r="L48" s="32"/>
      <c r="M48" s="31"/>
    </row>
    <row r="49" spans="8:13" x14ac:dyDescent="0.25">
      <c r="H49" s="27"/>
      <c r="I49" s="28"/>
      <c r="J49" s="29"/>
      <c r="K49" s="27"/>
      <c r="L49" s="32"/>
      <c r="M49" s="31"/>
    </row>
    <row r="50" spans="8:13" x14ac:dyDescent="0.25">
      <c r="H50" s="27"/>
      <c r="I50" s="28"/>
      <c r="J50" s="29"/>
      <c r="K50" s="27"/>
      <c r="L50" s="32"/>
      <c r="M50" s="31"/>
    </row>
    <row r="51" spans="8:13" x14ac:dyDescent="0.25">
      <c r="H51" s="27"/>
      <c r="I51" s="28"/>
      <c r="J51" s="29"/>
      <c r="K51" s="27"/>
      <c r="L51" s="32"/>
      <c r="M51" s="31"/>
    </row>
    <row r="52" spans="8:13" x14ac:dyDescent="0.25">
      <c r="H52" s="27"/>
      <c r="I52" s="28"/>
      <c r="J52" s="29"/>
      <c r="K52" s="27"/>
      <c r="L52" s="32"/>
      <c r="M52" s="31"/>
    </row>
    <row r="53" spans="8:13" x14ac:dyDescent="0.25">
      <c r="H53" s="27"/>
      <c r="I53" s="28"/>
      <c r="J53" s="29"/>
      <c r="K53" s="27"/>
      <c r="L53" s="27"/>
      <c r="M53" s="27"/>
    </row>
    <row r="54" spans="8:13" x14ac:dyDescent="0.25">
      <c r="H54" s="27"/>
      <c r="I54" s="28"/>
      <c r="J54" s="29"/>
      <c r="K54" s="27"/>
      <c r="L54" s="27"/>
      <c r="M54" s="27"/>
    </row>
    <row r="55" spans="8:13" x14ac:dyDescent="0.25">
      <c r="H55" s="27"/>
      <c r="I55" s="28"/>
      <c r="J55" s="29"/>
      <c r="K55" s="27"/>
      <c r="L55" s="27"/>
      <c r="M55" s="27"/>
    </row>
    <row r="56" spans="8:13" x14ac:dyDescent="0.25">
      <c r="H56" s="27"/>
      <c r="I56" s="28"/>
      <c r="J56" s="29"/>
      <c r="K56" s="27"/>
      <c r="L56" s="27"/>
      <c r="M56" s="27"/>
    </row>
    <row r="57" spans="8:13" x14ac:dyDescent="0.25">
      <c r="H57" s="27"/>
      <c r="I57" s="28"/>
      <c r="J57" s="29"/>
      <c r="K57" s="27"/>
      <c r="L57" s="27"/>
      <c r="M57" s="27"/>
    </row>
    <row r="58" spans="8:13" x14ac:dyDescent="0.25">
      <c r="H58" s="27"/>
      <c r="I58" s="28"/>
      <c r="J58" s="29"/>
      <c r="K58" s="27"/>
      <c r="L58" s="27"/>
      <c r="M58" s="27"/>
    </row>
    <row r="59" spans="8:13" x14ac:dyDescent="0.25">
      <c r="H59" s="27"/>
      <c r="I59" s="28"/>
      <c r="J59" s="29"/>
      <c r="K59" s="27"/>
      <c r="L59" s="27"/>
      <c r="M59" s="27"/>
    </row>
    <row r="60" spans="8:13" x14ac:dyDescent="0.25">
      <c r="H60" s="27"/>
      <c r="I60" s="28"/>
      <c r="J60" s="29"/>
      <c r="K60" s="27"/>
      <c r="L60" s="27"/>
      <c r="M60" s="27"/>
    </row>
    <row r="61" spans="8:13" x14ac:dyDescent="0.25">
      <c r="H61" s="27"/>
      <c r="I61" s="28"/>
      <c r="J61" s="29"/>
      <c r="K61" s="27"/>
      <c r="L61" s="27"/>
      <c r="M61" s="27"/>
    </row>
    <row r="62" spans="8:13" x14ac:dyDescent="0.25">
      <c r="H62" s="27"/>
      <c r="I62" s="28"/>
      <c r="J62" s="29"/>
      <c r="K62" s="27"/>
      <c r="L62" s="27"/>
      <c r="M62" s="27"/>
    </row>
    <row r="63" spans="8:13" x14ac:dyDescent="0.25">
      <c r="H63" s="27"/>
      <c r="I63" s="28"/>
      <c r="J63" s="29"/>
      <c r="K63" s="27"/>
      <c r="L63" s="27"/>
      <c r="M63" s="27"/>
    </row>
    <row r="64" spans="8:13" x14ac:dyDescent="0.25">
      <c r="H64" s="27"/>
      <c r="I64" s="28"/>
      <c r="J64" s="29"/>
      <c r="K64" s="27"/>
      <c r="L64" s="27"/>
      <c r="M64" s="27"/>
    </row>
    <row r="65" spans="8:13" x14ac:dyDescent="0.25">
      <c r="H65" s="27"/>
      <c r="I65" s="28"/>
      <c r="J65" s="29"/>
      <c r="K65" s="27"/>
      <c r="L65" s="27"/>
      <c r="M65" s="27"/>
    </row>
    <row r="66" spans="8:13" x14ac:dyDescent="0.25">
      <c r="H66" s="27"/>
      <c r="I66" s="28"/>
      <c r="J66" s="29"/>
      <c r="K66" s="27"/>
      <c r="L66" s="27"/>
      <c r="M66" s="27"/>
    </row>
    <row r="67" spans="8:13" x14ac:dyDescent="0.25">
      <c r="H67" s="27"/>
      <c r="I67" s="28"/>
      <c r="J67" s="29"/>
      <c r="K67" s="27"/>
      <c r="L67" s="27"/>
      <c r="M67" s="27"/>
    </row>
    <row r="68" spans="8:13" x14ac:dyDescent="0.25">
      <c r="H68" s="27"/>
      <c r="I68" s="28"/>
      <c r="J68" s="29"/>
      <c r="K68" s="27"/>
      <c r="L68" s="27"/>
      <c r="M68" s="27"/>
    </row>
    <row r="69" spans="8:13" x14ac:dyDescent="0.25">
      <c r="H69" s="27"/>
      <c r="I69" s="28"/>
      <c r="J69" s="29"/>
      <c r="K69" s="27"/>
      <c r="L69" s="27"/>
      <c r="M69" s="27"/>
    </row>
    <row r="70" spans="8:13" x14ac:dyDescent="0.25">
      <c r="H70" s="27"/>
      <c r="I70" s="28"/>
      <c r="J70" s="29"/>
      <c r="K70" s="27"/>
      <c r="L70" s="27"/>
      <c r="M70" s="27"/>
    </row>
    <row r="71" spans="8:13" x14ac:dyDescent="0.25">
      <c r="H71" s="27"/>
      <c r="I71" s="28"/>
      <c r="J71" s="29"/>
      <c r="K71" s="27"/>
      <c r="L71" s="27"/>
      <c r="M71" s="27"/>
    </row>
    <row r="72" spans="8:13" x14ac:dyDescent="0.25">
      <c r="H72" s="27"/>
      <c r="I72" s="28"/>
      <c r="J72" s="29"/>
      <c r="K72" s="27"/>
      <c r="L72" s="27"/>
      <c r="M72" s="27"/>
    </row>
    <row r="73" spans="8:13" x14ac:dyDescent="0.25">
      <c r="H73" s="27"/>
      <c r="I73" s="28"/>
      <c r="J73" s="29"/>
      <c r="K73" s="27"/>
      <c r="L73" s="27"/>
      <c r="M73" s="27"/>
    </row>
    <row r="74" spans="8:13" x14ac:dyDescent="0.25">
      <c r="H74" s="27"/>
      <c r="I74" s="28"/>
      <c r="J74" s="29"/>
      <c r="K74" s="27"/>
      <c r="L74" s="27"/>
      <c r="M74" s="27"/>
    </row>
    <row r="75" spans="8:13" x14ac:dyDescent="0.25">
      <c r="H75" s="27"/>
      <c r="I75" s="28"/>
      <c r="J75" s="29"/>
      <c r="K75" s="27"/>
      <c r="L75" s="27"/>
      <c r="M75" s="27"/>
    </row>
    <row r="76" spans="8:13" x14ac:dyDescent="0.25">
      <c r="H76" s="27"/>
      <c r="I76" s="28"/>
      <c r="J76" s="29"/>
      <c r="K76" s="27"/>
      <c r="L76" s="27"/>
      <c r="M76" s="27"/>
    </row>
    <row r="77" spans="8:13" x14ac:dyDescent="0.25">
      <c r="H77" s="27"/>
      <c r="I77" s="28"/>
      <c r="J77" s="29"/>
      <c r="K77" s="27"/>
      <c r="L77" s="27"/>
      <c r="M77" s="27"/>
    </row>
    <row r="78" spans="8:13" x14ac:dyDescent="0.25">
      <c r="H78" s="27"/>
      <c r="I78" s="28"/>
      <c r="J78" s="29"/>
      <c r="K78" s="27"/>
      <c r="L78" s="27"/>
      <c r="M78" s="27"/>
    </row>
    <row r="79" spans="8:13" x14ac:dyDescent="0.25">
      <c r="H79" s="27"/>
      <c r="I79" s="28"/>
      <c r="J79" s="29"/>
      <c r="K79" s="27"/>
      <c r="L79" s="27"/>
      <c r="M79" s="27"/>
    </row>
    <row r="80" spans="8:13" x14ac:dyDescent="0.25">
      <c r="H80" s="27"/>
      <c r="I80" s="28"/>
      <c r="J80" s="29"/>
      <c r="K80" s="27"/>
      <c r="L80" s="27"/>
      <c r="M80" s="27"/>
    </row>
    <row r="81" spans="8:13" x14ac:dyDescent="0.25">
      <c r="H81" s="27"/>
      <c r="I81" s="28"/>
      <c r="J81" s="29"/>
      <c r="K81" s="27"/>
      <c r="L81" s="27"/>
      <c r="M81" s="27"/>
    </row>
    <row r="82" spans="8:13" x14ac:dyDescent="0.25">
      <c r="H82" s="27"/>
      <c r="I82" s="28"/>
      <c r="J82" s="29"/>
      <c r="K82" s="27"/>
      <c r="L82" s="27"/>
      <c r="M82" s="27"/>
    </row>
    <row r="83" spans="8:13" x14ac:dyDescent="0.25">
      <c r="H83" s="27"/>
      <c r="I83" s="28"/>
      <c r="J83" s="29"/>
      <c r="K83" s="27"/>
      <c r="L83" s="27"/>
      <c r="M83" s="27"/>
    </row>
    <row r="84" spans="8:13" x14ac:dyDescent="0.25">
      <c r="H84" s="27"/>
      <c r="I84" s="28"/>
      <c r="J84" s="29"/>
      <c r="K84" s="27"/>
      <c r="L84" s="27"/>
      <c r="M84" s="27"/>
    </row>
    <row r="85" spans="8:13" x14ac:dyDescent="0.25">
      <c r="H85" s="27"/>
      <c r="I85" s="28"/>
      <c r="J85" s="29"/>
      <c r="K85" s="27"/>
      <c r="L85" s="27"/>
      <c r="M85" s="27"/>
    </row>
    <row r="86" spans="8:13" x14ac:dyDescent="0.25">
      <c r="H86" s="27"/>
      <c r="I86" s="28"/>
      <c r="J86" s="29"/>
      <c r="K86" s="27"/>
      <c r="L86" s="27"/>
      <c r="M86" s="27"/>
    </row>
    <row r="87" spans="8:13" x14ac:dyDescent="0.25">
      <c r="H87" s="27"/>
      <c r="I87" s="28"/>
      <c r="J87" s="29"/>
      <c r="K87" s="27"/>
      <c r="L87" s="27"/>
      <c r="M87" s="27"/>
    </row>
    <row r="88" spans="8:13" x14ac:dyDescent="0.25">
      <c r="H88" s="27"/>
      <c r="I88" s="28"/>
      <c r="J88" s="29"/>
      <c r="K88" s="27"/>
      <c r="L88" s="27"/>
      <c r="M88" s="27"/>
    </row>
    <row r="89" spans="8:13" x14ac:dyDescent="0.25">
      <c r="H89" s="27"/>
      <c r="I89" s="28"/>
      <c r="J89" s="29"/>
      <c r="K89" s="27"/>
      <c r="L89" s="27"/>
      <c r="M89" s="27"/>
    </row>
    <row r="90" spans="8:13" x14ac:dyDescent="0.25">
      <c r="H90" s="27"/>
      <c r="I90" s="28"/>
      <c r="J90" s="29"/>
      <c r="K90" s="27"/>
      <c r="L90" s="27"/>
      <c r="M90" s="27"/>
    </row>
    <row r="91" spans="8:13" x14ac:dyDescent="0.25">
      <c r="H91" s="27"/>
      <c r="I91" s="28"/>
      <c r="J91" s="29"/>
      <c r="K91" s="27"/>
      <c r="L91" s="27"/>
      <c r="M91" s="27"/>
    </row>
    <row r="92" spans="8:13" x14ac:dyDescent="0.25">
      <c r="H92" s="27"/>
      <c r="I92" s="28"/>
      <c r="J92" s="29"/>
      <c r="K92" s="27"/>
      <c r="L92" s="27"/>
      <c r="M92" s="27"/>
    </row>
    <row r="93" spans="8:13" x14ac:dyDescent="0.25">
      <c r="H93" s="27"/>
      <c r="I93" s="28"/>
      <c r="J93" s="29"/>
      <c r="K93" s="27"/>
      <c r="L93" s="27"/>
      <c r="M93" s="27"/>
    </row>
    <row r="94" spans="8:13" x14ac:dyDescent="0.25">
      <c r="H94" s="27"/>
      <c r="I94" s="28"/>
      <c r="J94" s="29"/>
      <c r="K94" s="27"/>
      <c r="L94" s="27"/>
      <c r="M94" s="27"/>
    </row>
    <row r="95" spans="8:13" x14ac:dyDescent="0.25">
      <c r="H95" s="27"/>
      <c r="I95" s="28"/>
      <c r="J95" s="29"/>
      <c r="K95" s="27"/>
      <c r="L95" s="27"/>
      <c r="M95" s="27"/>
    </row>
    <row r="96" spans="8:13" x14ac:dyDescent="0.25">
      <c r="H96" s="27"/>
      <c r="I96" s="28"/>
      <c r="J96" s="29"/>
      <c r="K96" s="27"/>
      <c r="L96" s="27"/>
      <c r="M96" s="27"/>
    </row>
    <row r="97" spans="8:13" x14ac:dyDescent="0.25">
      <c r="H97" s="27"/>
      <c r="I97" s="28"/>
      <c r="J97" s="29"/>
      <c r="K97" s="27"/>
      <c r="L97" s="27"/>
      <c r="M97" s="27"/>
    </row>
    <row r="98" spans="8:13" x14ac:dyDescent="0.25">
      <c r="H98" s="27"/>
      <c r="I98" s="28"/>
      <c r="J98" s="29"/>
      <c r="K98" s="27"/>
      <c r="L98" s="27"/>
      <c r="M98" s="27"/>
    </row>
    <row r="99" spans="8:13" x14ac:dyDescent="0.25">
      <c r="H99" s="27"/>
      <c r="I99" s="28"/>
      <c r="J99" s="29"/>
      <c r="K99" s="27"/>
      <c r="L99" s="27"/>
      <c r="M99" s="27"/>
    </row>
    <row r="100" spans="8:13" x14ac:dyDescent="0.25">
      <c r="H100" s="27"/>
      <c r="I100" s="28"/>
      <c r="J100" s="29"/>
      <c r="K100" s="27"/>
      <c r="L100" s="27"/>
      <c r="M100" s="27"/>
    </row>
    <row r="101" spans="8:13" x14ac:dyDescent="0.25">
      <c r="H101" s="27"/>
      <c r="I101" s="28"/>
      <c r="J101" s="29"/>
      <c r="K101" s="27"/>
      <c r="L101" s="27"/>
      <c r="M101" s="27"/>
    </row>
    <row r="102" spans="8:13" x14ac:dyDescent="0.25">
      <c r="H102" s="27"/>
      <c r="I102" s="28"/>
      <c r="J102" s="29"/>
      <c r="K102" s="27"/>
      <c r="L102" s="27"/>
      <c r="M102" s="27"/>
    </row>
    <row r="103" spans="8:13" x14ac:dyDescent="0.25">
      <c r="H103" s="27"/>
      <c r="I103" s="28"/>
      <c r="J103" s="29"/>
      <c r="K103" s="27"/>
      <c r="L103" s="27"/>
      <c r="M103" s="27"/>
    </row>
    <row r="104" spans="8:13" x14ac:dyDescent="0.25">
      <c r="H104" s="27"/>
      <c r="I104" s="28"/>
      <c r="J104" s="29"/>
      <c r="K104" s="27"/>
      <c r="L104" s="27"/>
      <c r="M104" s="27"/>
    </row>
    <row r="105" spans="8:13" x14ac:dyDescent="0.25">
      <c r="H105" s="27"/>
      <c r="I105" s="28"/>
      <c r="J105" s="29"/>
      <c r="K105" s="27"/>
      <c r="L105" s="27"/>
      <c r="M105" s="27"/>
    </row>
    <row r="106" spans="8:13" x14ac:dyDescent="0.25">
      <c r="H106" s="27"/>
      <c r="I106" s="28"/>
      <c r="J106" s="29"/>
      <c r="K106" s="27"/>
      <c r="L106" s="27"/>
      <c r="M106" s="27"/>
    </row>
    <row r="107" spans="8:13" x14ac:dyDescent="0.25">
      <c r="H107" s="27"/>
      <c r="I107" s="28"/>
      <c r="J107" s="29"/>
      <c r="K107" s="27"/>
      <c r="L107" s="27"/>
      <c r="M107" s="27"/>
    </row>
    <row r="108" spans="8:13" x14ac:dyDescent="0.25">
      <c r="H108" s="27"/>
      <c r="I108" s="28"/>
      <c r="J108" s="29"/>
      <c r="K108" s="27"/>
      <c r="L108" s="27"/>
      <c r="M108" s="27"/>
    </row>
    <row r="109" spans="8:13" x14ac:dyDescent="0.25">
      <c r="H109" s="27"/>
      <c r="I109" s="28"/>
      <c r="J109" s="29"/>
      <c r="K109" s="27"/>
      <c r="L109" s="27"/>
      <c r="M109" s="27"/>
    </row>
    <row r="110" spans="8:13" x14ac:dyDescent="0.25">
      <c r="H110" s="27"/>
      <c r="I110" s="28"/>
      <c r="J110" s="29"/>
      <c r="K110" s="27"/>
      <c r="L110" s="27"/>
      <c r="M110" s="27"/>
    </row>
    <row r="111" spans="8:13" x14ac:dyDescent="0.25">
      <c r="H111" s="27"/>
      <c r="I111" s="28"/>
      <c r="J111" s="29"/>
      <c r="K111" s="27"/>
      <c r="L111" s="27"/>
      <c r="M111" s="27"/>
    </row>
    <row r="112" spans="8:13" x14ac:dyDescent="0.25">
      <c r="H112" s="27"/>
      <c r="I112" s="28"/>
      <c r="J112" s="29"/>
      <c r="K112" s="27"/>
      <c r="L112" s="27"/>
      <c r="M112" s="27"/>
    </row>
    <row r="113" spans="8:13" x14ac:dyDescent="0.25">
      <c r="H113" s="27"/>
      <c r="I113" s="28"/>
      <c r="J113" s="29"/>
      <c r="K113" s="27"/>
      <c r="L113" s="27"/>
      <c r="M113" s="27"/>
    </row>
    <row r="114" spans="8:13" x14ac:dyDescent="0.25">
      <c r="H114" s="27"/>
      <c r="I114" s="28"/>
      <c r="J114" s="29"/>
      <c r="K114" s="27"/>
      <c r="L114" s="27"/>
      <c r="M114" s="27"/>
    </row>
    <row r="115" spans="8:13" x14ac:dyDescent="0.25">
      <c r="H115" s="27"/>
      <c r="I115" s="28"/>
      <c r="J115" s="29"/>
      <c r="K115" s="27"/>
      <c r="L115" s="27"/>
      <c r="M115" s="27"/>
    </row>
    <row r="116" spans="8:13" x14ac:dyDescent="0.25">
      <c r="H116" s="27"/>
      <c r="I116" s="28"/>
      <c r="J116" s="29"/>
      <c r="K116" s="27"/>
      <c r="L116" s="27"/>
      <c r="M116" s="27"/>
    </row>
    <row r="117" spans="8:13" x14ac:dyDescent="0.25">
      <c r="H117" s="27"/>
      <c r="I117" s="28"/>
      <c r="J117" s="29"/>
      <c r="K117" s="27"/>
      <c r="L117" s="27"/>
      <c r="M117" s="27"/>
    </row>
    <row r="118" spans="8:13" x14ac:dyDescent="0.25">
      <c r="H118" s="27"/>
      <c r="I118" s="28"/>
      <c r="J118" s="29"/>
      <c r="K118" s="27"/>
      <c r="L118" s="27"/>
      <c r="M118" s="27"/>
    </row>
    <row r="119" spans="8:13" x14ac:dyDescent="0.25">
      <c r="H119" s="27"/>
      <c r="I119" s="28"/>
      <c r="J119" s="29"/>
      <c r="K119" s="27"/>
      <c r="L119" s="27"/>
      <c r="M119" s="27"/>
    </row>
    <row r="120" spans="8:13" x14ac:dyDescent="0.25">
      <c r="H120" s="27"/>
      <c r="I120" s="28"/>
      <c r="J120" s="29"/>
      <c r="K120" s="27"/>
      <c r="L120" s="27"/>
      <c r="M120" s="27"/>
    </row>
    <row r="121" spans="8:13" x14ac:dyDescent="0.25">
      <c r="H121" s="27"/>
      <c r="I121" s="28"/>
      <c r="J121" s="29"/>
      <c r="K121" s="27"/>
      <c r="L121" s="27"/>
      <c r="M121" s="27"/>
    </row>
    <row r="122" spans="8:13" x14ac:dyDescent="0.25">
      <c r="H122" s="27"/>
      <c r="I122" s="28"/>
      <c r="J122" s="29"/>
      <c r="K122" s="27"/>
      <c r="L122" s="27"/>
      <c r="M122" s="27"/>
    </row>
    <row r="123" spans="8:13" x14ac:dyDescent="0.25">
      <c r="H123" s="27"/>
      <c r="I123" s="28"/>
      <c r="J123" s="29"/>
      <c r="K123" s="27"/>
      <c r="L123" s="27"/>
      <c r="M123" s="27"/>
    </row>
    <row r="124" spans="8:13" x14ac:dyDescent="0.25">
      <c r="H124" s="27"/>
      <c r="I124" s="28"/>
      <c r="J124" s="29"/>
      <c r="K124" s="27"/>
      <c r="L124" s="27"/>
      <c r="M124" s="27"/>
    </row>
    <row r="125" spans="8:13" x14ac:dyDescent="0.25">
      <c r="H125" s="27"/>
      <c r="I125" s="28"/>
      <c r="J125" s="29"/>
      <c r="K125" s="27"/>
      <c r="L125" s="27"/>
      <c r="M125" s="27"/>
    </row>
    <row r="126" spans="8:13" x14ac:dyDescent="0.25">
      <c r="H126" s="27"/>
      <c r="I126" s="28"/>
      <c r="J126" s="29"/>
      <c r="K126" s="27"/>
      <c r="L126" s="27"/>
      <c r="M126" s="27"/>
    </row>
    <row r="127" spans="8:13" x14ac:dyDescent="0.25">
      <c r="H127" s="27"/>
      <c r="I127" s="28"/>
      <c r="J127" s="29"/>
      <c r="K127" s="27"/>
      <c r="L127" s="27"/>
      <c r="M127" s="27"/>
    </row>
    <row r="128" spans="8:13" x14ac:dyDescent="0.25">
      <c r="H128" s="27"/>
      <c r="I128" s="28"/>
      <c r="J128" s="29"/>
      <c r="K128" s="27"/>
      <c r="L128" s="27"/>
      <c r="M128" s="27"/>
    </row>
    <row r="129" spans="8:13" x14ac:dyDescent="0.25">
      <c r="H129" s="27"/>
      <c r="I129" s="28"/>
      <c r="J129" s="29"/>
      <c r="K129" s="27"/>
      <c r="L129" s="27"/>
      <c r="M129" s="27"/>
    </row>
    <row r="130" spans="8:13" x14ac:dyDescent="0.25">
      <c r="H130" s="27"/>
      <c r="I130" s="28"/>
      <c r="J130" s="29"/>
      <c r="K130" s="27"/>
      <c r="L130" s="27"/>
      <c r="M130" s="27"/>
    </row>
    <row r="131" spans="8:13" x14ac:dyDescent="0.25">
      <c r="H131" s="27"/>
      <c r="I131" s="28"/>
      <c r="J131" s="29"/>
      <c r="K131" s="27"/>
      <c r="L131" s="27"/>
      <c r="M131" s="27"/>
    </row>
    <row r="132" spans="8:13" x14ac:dyDescent="0.25">
      <c r="H132" s="27"/>
      <c r="I132" s="28"/>
      <c r="J132" s="29"/>
      <c r="K132" s="27"/>
      <c r="L132" s="27"/>
      <c r="M132" s="27"/>
    </row>
    <row r="133" spans="8:13" x14ac:dyDescent="0.25">
      <c r="H133" s="27"/>
      <c r="I133" s="28"/>
      <c r="J133" s="29"/>
      <c r="K133" s="27"/>
      <c r="L133" s="27"/>
      <c r="M133" s="27"/>
    </row>
    <row r="134" spans="8:13" x14ac:dyDescent="0.25">
      <c r="H134" s="27"/>
      <c r="I134" s="28"/>
      <c r="J134" s="29"/>
      <c r="K134" s="27"/>
      <c r="L134" s="27"/>
      <c r="M134" s="27"/>
    </row>
    <row r="135" spans="8:13" x14ac:dyDescent="0.25">
      <c r="H135" s="27"/>
      <c r="I135" s="28"/>
      <c r="J135" s="29"/>
      <c r="K135" s="27"/>
      <c r="L135" s="27"/>
      <c r="M135" s="27"/>
    </row>
    <row r="136" spans="8:13" x14ac:dyDescent="0.25">
      <c r="H136" s="27"/>
      <c r="I136" s="28"/>
      <c r="J136" s="29"/>
      <c r="K136" s="27"/>
      <c r="L136" s="27"/>
      <c r="M136" s="27"/>
    </row>
    <row r="137" spans="8:13" x14ac:dyDescent="0.25">
      <c r="H137" s="27"/>
      <c r="I137" s="28"/>
      <c r="J137" s="29"/>
      <c r="K137" s="27"/>
      <c r="L137" s="27"/>
      <c r="M137" s="27"/>
    </row>
    <row r="138" spans="8:13" x14ac:dyDescent="0.25">
      <c r="H138" s="27"/>
      <c r="I138" s="28"/>
      <c r="J138" s="29"/>
      <c r="K138" s="27"/>
      <c r="L138" s="27"/>
      <c r="M138" s="27"/>
    </row>
    <row r="139" spans="8:13" x14ac:dyDescent="0.25">
      <c r="H139" s="27"/>
      <c r="I139" s="28"/>
      <c r="J139" s="29"/>
      <c r="K139" s="27"/>
      <c r="L139" s="27"/>
      <c r="M139" s="27"/>
    </row>
    <row r="140" spans="8:13" x14ac:dyDescent="0.25">
      <c r="H140" s="27"/>
      <c r="I140" s="28"/>
      <c r="J140" s="29"/>
      <c r="K140" s="27"/>
      <c r="L140" s="27"/>
      <c r="M140" s="27"/>
    </row>
    <row r="141" spans="8:13" x14ac:dyDescent="0.25">
      <c r="H141" s="27"/>
      <c r="I141" s="28"/>
      <c r="J141" s="29"/>
      <c r="K141" s="27"/>
      <c r="L141" s="27"/>
      <c r="M141" s="27"/>
    </row>
    <row r="142" spans="8:13" x14ac:dyDescent="0.25">
      <c r="H142" s="27"/>
      <c r="I142" s="28"/>
      <c r="J142" s="29"/>
      <c r="K142" s="27"/>
      <c r="L142" s="27"/>
      <c r="M142" s="27"/>
    </row>
    <row r="143" spans="8:13" x14ac:dyDescent="0.25">
      <c r="H143" s="27"/>
      <c r="I143" s="28"/>
      <c r="J143" s="29"/>
      <c r="K143" s="27"/>
      <c r="L143" s="27"/>
      <c r="M143" s="27"/>
    </row>
    <row r="144" spans="8:13" x14ac:dyDescent="0.25">
      <c r="H144" s="27"/>
      <c r="I144" s="28"/>
      <c r="J144" s="29"/>
      <c r="K144" s="27"/>
      <c r="L144" s="27"/>
      <c r="M144" s="27"/>
    </row>
    <row r="145" spans="8:13" x14ac:dyDescent="0.25">
      <c r="H145" s="27"/>
      <c r="I145" s="28"/>
      <c r="J145" s="29"/>
      <c r="K145" s="27"/>
      <c r="L145" s="27"/>
      <c r="M145" s="27"/>
    </row>
    <row r="146" spans="8:13" x14ac:dyDescent="0.25">
      <c r="H146" s="27"/>
      <c r="I146" s="28"/>
      <c r="J146" s="29"/>
      <c r="K146" s="27"/>
      <c r="L146" s="27"/>
      <c r="M146" s="27"/>
    </row>
    <row r="147" spans="8:13" x14ac:dyDescent="0.25">
      <c r="H147" s="27"/>
      <c r="I147" s="27"/>
      <c r="J147" s="27"/>
      <c r="K147" s="27"/>
      <c r="L147" s="27"/>
      <c r="M147" s="27"/>
    </row>
  </sheetData>
  <hyperlinks>
    <hyperlink ref="G2" r:id="rId1" xr:uid="{ABEAF4CC-1C94-42AD-ABD1-170BA431AE4E}"/>
    <hyperlink ref="G5" r:id="rId2" xr:uid="{7A25C992-4F5F-4792-BDAF-8BBAB72653D4}"/>
    <hyperlink ref="G6" r:id="rId3" xr:uid="{F696CA62-3F50-454A-8684-F15D2755CBAB}"/>
    <hyperlink ref="G7" r:id="rId4" xr:uid="{53A6A60B-A5FB-4B78-9C95-3986608FED5E}"/>
    <hyperlink ref="G8" r:id="rId5" xr:uid="{783E5915-B746-4000-8091-117B4BB62DE4}"/>
    <hyperlink ref="G9" r:id="rId6" xr:uid="{1D2B2B70-B77A-4661-890B-AFC844A21AB3}"/>
    <hyperlink ref="G10" r:id="rId7" xr:uid="{4DFC10E2-5A35-42F5-B85D-346AC97927C2}"/>
    <hyperlink ref="G11" r:id="rId8" xr:uid="{522F9437-612A-4144-A9A2-3C225F72C3F5}"/>
    <hyperlink ref="G12" r:id="rId9" xr:uid="{BEC91B8E-99F2-44AC-9EE7-789FB598960B}"/>
    <hyperlink ref="G13" r:id="rId10" xr:uid="{CEBCD696-0107-4CCA-8DA3-EF9D4B19281F}"/>
    <hyperlink ref="G15" r:id="rId11" xr:uid="{D39BE843-2C06-4DAC-9A41-8D44EEE0B750}"/>
    <hyperlink ref="G14" r:id="rId12" xr:uid="{EC0B2D72-75B0-4A4F-8B55-76D88F9F2617}"/>
    <hyperlink ref="G17" r:id="rId13" xr:uid="{42467848-FF45-4F89-8FED-06B64F9C9242}"/>
    <hyperlink ref="G16" r:id="rId14" xr:uid="{95E3226C-E8E5-4883-97D9-38D17CEBE553}"/>
    <hyperlink ref="G18" r:id="rId15" xr:uid="{547D3B3F-BB93-418A-88BE-2C734BC31E48}"/>
    <hyperlink ref="G19" r:id="rId16" xr:uid="{A50838A6-C51F-469B-B4B5-32FA136A8A0C}"/>
    <hyperlink ref="G20" r:id="rId17" xr:uid="{3A013C40-2154-4092-AD60-AFE21884D828}"/>
    <hyperlink ref="G21" r:id="rId18" xr:uid="{65E80CC2-F8D8-4ED1-8665-D89277D6654B}"/>
    <hyperlink ref="G22" r:id="rId19" xr:uid="{95540706-2CCE-4EE1-99DD-BE81F1171E45}"/>
    <hyperlink ref="G23" r:id="rId20" xr:uid="{5B6EE4D4-234F-4287-89D0-D4ABF2A5883A}"/>
    <hyperlink ref="G24" r:id="rId21" xr:uid="{9CC97106-8B60-45A6-B5BB-A4CBE6740755}"/>
    <hyperlink ref="G25" r:id="rId22" xr:uid="{3E77BF29-7383-410E-BF99-894EA4916646}"/>
    <hyperlink ref="G26" r:id="rId23" xr:uid="{A280100E-4C58-4B28-8F38-7CBC47E84F9B}"/>
    <hyperlink ref="G27" r:id="rId24" xr:uid="{FE153BAF-7809-4AA5-B9AC-535370BF1E1A}"/>
    <hyperlink ref="G28" r:id="rId25" xr:uid="{72ACB18A-B87F-4677-897B-5F31576A8C4E}"/>
    <hyperlink ref="G29" r:id="rId26" xr:uid="{E86A755B-46A4-4C48-85A9-4B6A86DE6F19}"/>
    <hyperlink ref="G30" r:id="rId27" xr:uid="{80127244-2A5B-47AB-A47D-158AD581B597}"/>
    <hyperlink ref="G31" r:id="rId28" xr:uid="{90D377C7-D039-4A65-88E5-8BD212A65BAC}"/>
    <hyperlink ref="G32" r:id="rId29" xr:uid="{CB85127A-9831-43D0-9B28-1BF6000CFFA2}"/>
    <hyperlink ref="G4" r:id="rId30" xr:uid="{E7516B32-23EF-46B0-B513-F7AE0A0AE090}"/>
    <hyperlink ref="G3" r:id="rId31" xr:uid="{03250420-BCD0-4AF6-BA6E-515BDF9F3701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C8B6BD-9673-484E-9AF0-BD646BC6E3E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Principal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Gamez</dc:creator>
  <cp:lastModifiedBy>Admi</cp:lastModifiedBy>
  <dcterms:created xsi:type="dcterms:W3CDTF">2026-09-18T01:30:54Z</dcterms:created>
  <dcterms:modified xsi:type="dcterms:W3CDTF">2026-09-18T22:23:27Z</dcterms:modified>
</cp:coreProperties>
</file>