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ef4233b9627868/Documentos/Downloads/"/>
    </mc:Choice>
  </mc:AlternateContent>
  <xr:revisionPtr revIDLastSave="4" documentId="13_ncr:1_{86FFF335-AC03-4817-B40B-7B4B5BB0F4B0}" xr6:coauthVersionLast="47" xr6:coauthVersionMax="47" xr10:uidLastSave="{D38A8308-A52B-4F54-94F1-5CB851322494}"/>
  <bookViews>
    <workbookView xWindow="-120" yWindow="-120" windowWidth="29040" windowHeight="15720" activeTab="3" xr2:uid="{0B11D310-D8A4-46B5-B356-E5EC26ABA52E}"/>
  </bookViews>
  <sheets>
    <sheet name="Principal" sheetId="1" r:id="rId1"/>
    <sheet name="1FN" sheetId="2" r:id="rId2"/>
    <sheet name="2FN" sheetId="4" r:id="rId3"/>
    <sheet name="3F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4" l="1"/>
  <c r="H44" i="4"/>
  <c r="H43" i="4"/>
  <c r="H40" i="4"/>
  <c r="H39" i="4"/>
  <c r="H33" i="4"/>
  <c r="H32" i="4"/>
  <c r="H31" i="4"/>
  <c r="H28" i="4"/>
  <c r="H27" i="4"/>
  <c r="H26" i="4"/>
  <c r="H23" i="4"/>
  <c r="H20" i="4"/>
  <c r="H17" i="4"/>
  <c r="H11" i="4"/>
  <c r="H8" i="4"/>
  <c r="H7" i="4"/>
  <c r="H6" i="4"/>
  <c r="H49" i="3"/>
  <c r="H44" i="3"/>
  <c r="H43" i="3"/>
  <c r="H40" i="3"/>
  <c r="H39" i="3"/>
  <c r="H33" i="3"/>
  <c r="H32" i="3"/>
  <c r="H31" i="3"/>
  <c r="H28" i="3"/>
  <c r="H27" i="3"/>
  <c r="H26" i="3"/>
  <c r="H23" i="3"/>
  <c r="H20" i="3"/>
  <c r="H17" i="3"/>
  <c r="H11" i="3"/>
  <c r="H8" i="3"/>
  <c r="H7" i="3"/>
  <c r="H6" i="3"/>
  <c r="P29" i="2"/>
  <c r="P4" i="2"/>
  <c r="P47" i="2"/>
  <c r="P42" i="2"/>
  <c r="P41" i="2"/>
  <c r="P38" i="2"/>
  <c r="P37" i="2"/>
  <c r="P31" i="2"/>
  <c r="P30" i="2"/>
  <c r="P26" i="2"/>
  <c r="P25" i="2"/>
  <c r="P24" i="2"/>
  <c r="P21" i="2"/>
  <c r="P18" i="2"/>
  <c r="P15" i="2"/>
  <c r="P9" i="2"/>
  <c r="P6" i="2"/>
  <c r="P5" i="2"/>
  <c r="M5" i="1"/>
  <c r="M7" i="1"/>
  <c r="M10" i="1"/>
  <c r="M12" i="1"/>
  <c r="M14" i="1"/>
  <c r="M16" i="1"/>
  <c r="M17" i="1"/>
  <c r="M18" i="1"/>
  <c r="M20" i="1"/>
  <c r="M21" i="1"/>
  <c r="M22" i="1"/>
  <c r="M24" i="1"/>
  <c r="M25" i="1"/>
  <c r="M27" i="1"/>
  <c r="M28" i="1"/>
  <c r="M31" i="1"/>
  <c r="M3" i="1"/>
  <c r="M4" i="1"/>
</calcChain>
</file>

<file path=xl/sharedStrings.xml><?xml version="1.0" encoding="utf-8"?>
<sst xmlns="http://schemas.openxmlformats.org/spreadsheetml/2006/main" count="2535" uniqueCount="807">
  <si>
    <t>Fecha de Nacimiento</t>
  </si>
  <si>
    <t>Cantidad</t>
  </si>
  <si>
    <t>Ciudad</t>
  </si>
  <si>
    <t>Total</t>
  </si>
  <si>
    <t>mediano,grande</t>
  </si>
  <si>
    <t>brownie</t>
  </si>
  <si>
    <t>Bogota</t>
  </si>
  <si>
    <t>Calle 45 #12-30</t>
  </si>
  <si>
    <t>fresas mágicas</t>
  </si>
  <si>
    <t>grande</t>
  </si>
  <si>
    <t>Carrera 10 #25-18</t>
  </si>
  <si>
    <t>fresas mágicas con helado</t>
  </si>
  <si>
    <t>mediano</t>
  </si>
  <si>
    <t>Calle 63 #18-45</t>
  </si>
  <si>
    <t>arequipe</t>
  </si>
  <si>
    <t>Carrera 68 #42-15</t>
  </si>
  <si>
    <t>leche condensada</t>
  </si>
  <si>
    <t>Calle 80 #23-10</t>
  </si>
  <si>
    <t>creppe</t>
  </si>
  <si>
    <t>Carrera 30 #15-27</t>
  </si>
  <si>
    <t>oreo</t>
  </si>
  <si>
    <t>Calle 100 #8-22</t>
  </si>
  <si>
    <t>fresa</t>
  </si>
  <si>
    <t>Carrera 15 #60-35</t>
  </si>
  <si>
    <t>helado fresa</t>
  </si>
  <si>
    <t>mango</t>
  </si>
  <si>
    <t>Calle 72 #40-16</t>
  </si>
  <si>
    <t>maracuyada</t>
  </si>
  <si>
    <t>banano</t>
  </si>
  <si>
    <t>Carrera 50 #32-12</t>
  </si>
  <si>
    <t>nicolas.herrera@gmail.com</t>
  </si>
  <si>
    <t>pequeño</t>
  </si>
  <si>
    <t>Calle 25 #14-08</t>
  </si>
  <si>
    <t>Carrera 7 #80-25</t>
  </si>
  <si>
    <t>mateo.jimenez@gmail.com</t>
  </si>
  <si>
    <t>Calle 52 #20-14</t>
  </si>
  <si>
    <t>isabella.moreno@gmail.com</t>
  </si>
  <si>
    <t>Carrera 23 #45-19</t>
  </si>
  <si>
    <t>santiago.diaz@gmail.com</t>
  </si>
  <si>
    <t>raspado</t>
  </si>
  <si>
    <t>Calle 91 #16-32</t>
  </si>
  <si>
    <t>mariana.silva@gmail.com</t>
  </si>
  <si>
    <t>cholado</t>
  </si>
  <si>
    <t>Carrera 40 #27-11</t>
  </si>
  <si>
    <t>david.cardenas@gmail.com</t>
  </si>
  <si>
    <t>bananada</t>
  </si>
  <si>
    <t>Calle 34 #55-20</t>
  </si>
  <si>
    <t>Carrera 60 #18-42</t>
  </si>
  <si>
    <t>alejandro.ortiz@gmail.com</t>
  </si>
  <si>
    <t>malteada (helado) vainilla</t>
  </si>
  <si>
    <t>Calle 67 #30-15</t>
  </si>
  <si>
    <t>gabriela.navarro@gmail.com</t>
  </si>
  <si>
    <t>jugo natural mora</t>
  </si>
  <si>
    <t>Carrera 12 #70-26</t>
  </si>
  <si>
    <t>daniel.sanchez@gmail.com</t>
  </si>
  <si>
    <t>fresas con chocolate</t>
  </si>
  <si>
    <t>Calle 48 #22-17</t>
  </si>
  <si>
    <t>paula.mendoza@gmail.com</t>
  </si>
  <si>
    <t>Carrera 35 #12-40</t>
  </si>
  <si>
    <t>miguel.arias@gmail.com</t>
  </si>
  <si>
    <t>granizado frutos rojos</t>
  </si>
  <si>
    <t>Calle 75 #19-28</t>
  </si>
  <si>
    <t>sara.molina@gmail.com</t>
  </si>
  <si>
    <t>Carrera 18 #52-09</t>
  </si>
  <si>
    <t>esteban.guerrero@gmail.com</t>
  </si>
  <si>
    <t>Calle 60 #33-18</t>
  </si>
  <si>
    <t>juliana.pena@gmail.com</t>
  </si>
  <si>
    <t>Carrera 45 #28-31</t>
  </si>
  <si>
    <t>tomas.acosta@gmail.com</t>
  </si>
  <si>
    <t>Calle 85 #10-23</t>
  </si>
  <si>
    <t>manuela.pardo@gmail.com</t>
  </si>
  <si>
    <t>Carrera 25 #63-16</t>
  </si>
  <si>
    <t>jorge.beltran@gmail.com</t>
  </si>
  <si>
    <t>Calle 42 #75-12</t>
  </si>
  <si>
    <t>Carrera 55 #35-24</t>
  </si>
  <si>
    <t>Nombre</t>
  </si>
  <si>
    <t xml:space="preserve">Juan Perez </t>
  </si>
  <si>
    <t>Laura Gómez</t>
  </si>
  <si>
    <t>Documento</t>
  </si>
  <si>
    <t>Telefono</t>
  </si>
  <si>
    <t>Correo</t>
  </si>
  <si>
    <t>Producto</t>
  </si>
  <si>
    <t>Tamaño</t>
  </si>
  <si>
    <t>Dirección</t>
  </si>
  <si>
    <t>Valor Producto</t>
  </si>
  <si>
    <t>CC 1001234567</t>
  </si>
  <si>
    <t>CC 1002345678</t>
  </si>
  <si>
    <t>Carlos  Rodriguez</t>
  </si>
  <si>
    <t>CC 1003456789</t>
  </si>
  <si>
    <t>Maria Martínez</t>
  </si>
  <si>
    <t>CC 1004567890</t>
  </si>
  <si>
    <t>Andrés López</t>
  </si>
  <si>
    <t>CC 1005678901</t>
  </si>
  <si>
    <t>Daniela Torres</t>
  </si>
  <si>
    <t>CC 1006789012</t>
  </si>
  <si>
    <t xml:space="preserve">Sebastian Ramirez </t>
  </si>
  <si>
    <t>CC 1007890123</t>
  </si>
  <si>
    <t>Valentina Castro</t>
  </si>
  <si>
    <t>CC 1008901234</t>
  </si>
  <si>
    <t>Felipe Moreno</t>
  </si>
  <si>
    <t>CC 1009012345</t>
  </si>
  <si>
    <t>Camila Vargas</t>
  </si>
  <si>
    <t>CC 1010123456</t>
  </si>
  <si>
    <t xml:space="preserve">juan.perez@gmail.com </t>
  </si>
  <si>
    <t xml:space="preserve">laura.gomez@gmail.com </t>
  </si>
  <si>
    <t xml:space="preserve">maria.martinez@gmail.com </t>
  </si>
  <si>
    <t xml:space="preserve">andres.lopez@gmail.com </t>
  </si>
  <si>
    <t xml:space="preserve">daniela.torres@gmail.com </t>
  </si>
  <si>
    <t xml:space="preserve">sebastian.ramirez@gmail.com </t>
  </si>
  <si>
    <t xml:space="preserve">valentina.castro@gmail.com </t>
  </si>
  <si>
    <t xml:space="preserve">felipe.moreno@gmail.com </t>
  </si>
  <si>
    <t xml:space="preserve">camila.vargas@gmail.com </t>
  </si>
  <si>
    <t xml:space="preserve">Nicolas Herrera </t>
  </si>
  <si>
    <t>CC 1011234567</t>
  </si>
  <si>
    <t>cerezada</t>
  </si>
  <si>
    <t>Sofia Rojas</t>
  </si>
  <si>
    <t>CC 1012345678</t>
  </si>
  <si>
    <t>Mateo Jimenez</t>
  </si>
  <si>
    <t>CC 1013456789</t>
  </si>
  <si>
    <t xml:space="preserve">frappé </t>
  </si>
  <si>
    <t>Isabella Moreno</t>
  </si>
  <si>
    <t>CC 1014567890</t>
  </si>
  <si>
    <t>Santiago Diaz</t>
  </si>
  <si>
    <t>CC 1015678901</t>
  </si>
  <si>
    <t>Mariana Silva</t>
  </si>
  <si>
    <t xml:space="preserve">David Cardenas </t>
  </si>
  <si>
    <t>CC 1017890123</t>
  </si>
  <si>
    <t>Natalia Restrepo</t>
  </si>
  <si>
    <t>CC 1018901234</t>
  </si>
  <si>
    <t>Alejandro Ortiz</t>
  </si>
  <si>
    <t>CC 1019012345</t>
  </si>
  <si>
    <t>Gabriela Navarro</t>
  </si>
  <si>
    <t>CC 1020123456</t>
  </si>
  <si>
    <t>Daniela Sanchez</t>
  </si>
  <si>
    <t>CC 1021234567</t>
  </si>
  <si>
    <t>Paula Mendoza</t>
  </si>
  <si>
    <t>CC 1022345678</t>
  </si>
  <si>
    <t xml:space="preserve">Miguel Arias </t>
  </si>
  <si>
    <t>CC 1023456789</t>
  </si>
  <si>
    <t>Sara Molina</t>
  </si>
  <si>
    <t>CC 1024567890</t>
  </si>
  <si>
    <t>Esteban Guerrero</t>
  </si>
  <si>
    <t>Juliana Peña</t>
  </si>
  <si>
    <t>CC 1026789012</t>
  </si>
  <si>
    <t>Tomas Acosta</t>
  </si>
  <si>
    <t>CC 1027890123</t>
  </si>
  <si>
    <t>Manuela Pardo</t>
  </si>
  <si>
    <t>CC 1028901234</t>
  </si>
  <si>
    <t>Jorge Beltran</t>
  </si>
  <si>
    <t>CC 1029012345</t>
  </si>
  <si>
    <t xml:space="preserve">Ana Salazar </t>
  </si>
  <si>
    <t xml:space="preserve">sofia.rojas@gmail.com </t>
  </si>
  <si>
    <t>fresas con chocolate pequeño</t>
  </si>
  <si>
    <t>fresas con chocolate mediano</t>
  </si>
  <si>
    <t>fresas con chocolate grande</t>
  </si>
  <si>
    <t>fresas mágicas pequeño</t>
  </si>
  <si>
    <t xml:space="preserve">fresas mágicas mediano </t>
  </si>
  <si>
    <t>fresas mágicas grande</t>
  </si>
  <si>
    <t>fresas mágicas con helado pequeño</t>
  </si>
  <si>
    <t>fresas mágicas con helado mediano</t>
  </si>
  <si>
    <t xml:space="preserve">fresas mágicas con helado grande </t>
  </si>
  <si>
    <t>granizado maracuya grande</t>
  </si>
  <si>
    <t>granizado maracuya pequeño</t>
  </si>
  <si>
    <t>granizado maracuya mediano</t>
  </si>
  <si>
    <t>granizado mango pequeño</t>
  </si>
  <si>
    <t>granizado mango mediano</t>
  </si>
  <si>
    <t>granizado mango grande</t>
  </si>
  <si>
    <t>granizado frutos rojos pequeño</t>
  </si>
  <si>
    <t>granizado frutos rojos mediano</t>
  </si>
  <si>
    <t>granizado frutos rojos grande</t>
  </si>
  <si>
    <t>sodificadas maracuya pequeño</t>
  </si>
  <si>
    <t>sodificadas maracuya mediano</t>
  </si>
  <si>
    <t>sodificadas maracuya grande</t>
  </si>
  <si>
    <t>sodificadas mango pequeño</t>
  </si>
  <si>
    <t>sodificadas mango grande</t>
  </si>
  <si>
    <t>sodificadas mango mediano</t>
  </si>
  <si>
    <t>sodificadas frutos rojos pequeño</t>
  </si>
  <si>
    <t>sodificadas frutos rojos mediano</t>
  </si>
  <si>
    <t>sodificadas frutos rojos grande</t>
  </si>
  <si>
    <t>waffle pequeño</t>
  </si>
  <si>
    <t>waffle mediano</t>
  </si>
  <si>
    <t>waffle grande</t>
  </si>
  <si>
    <t>creppe grande</t>
  </si>
  <si>
    <t>creppe mediano</t>
  </si>
  <si>
    <t>creppe pequeño</t>
  </si>
  <si>
    <t>michelada pequeño</t>
  </si>
  <si>
    <t>michelada mediano</t>
  </si>
  <si>
    <t>michelada grande</t>
  </si>
  <si>
    <t>lulada pequeño</t>
  </si>
  <si>
    <t>lulada mediano</t>
  </si>
  <si>
    <t>lulada grande</t>
  </si>
  <si>
    <t>maracuyada pequeño</t>
  </si>
  <si>
    <t>maracuyada mediano</t>
  </si>
  <si>
    <t>maracuyada grande</t>
  </si>
  <si>
    <t>cerezada pequeño</t>
  </si>
  <si>
    <t>cerezada mediano</t>
  </si>
  <si>
    <t>cerezada grande</t>
  </si>
  <si>
    <t>limonada coco pequeño</t>
  </si>
  <si>
    <t>limonada coco mediano</t>
  </si>
  <si>
    <t>limonada coco grande</t>
  </si>
  <si>
    <t>frappe pequeño</t>
  </si>
  <si>
    <t>frappe mediano</t>
  </si>
  <si>
    <t>frappe grande</t>
  </si>
  <si>
    <t>jugo en leche mora pequeño</t>
  </si>
  <si>
    <t>jugo en leche mora mediano</t>
  </si>
  <si>
    <t>jugo en leche mora grande</t>
  </si>
  <si>
    <t>jugo en leche fresa pequeño</t>
  </si>
  <si>
    <t>jugo en leche fresa mediano</t>
  </si>
  <si>
    <t>jugo en leche fresa grande</t>
  </si>
  <si>
    <t>jugo en leche guanabana pequeño</t>
  </si>
  <si>
    <t>jugo en leche guanabana mediano</t>
  </si>
  <si>
    <t>jugo en leche guanabana grande</t>
  </si>
  <si>
    <t>jugo en leche lulo pequeño</t>
  </si>
  <si>
    <t>jugo en leche lulo mediano</t>
  </si>
  <si>
    <t>jugo en leche lulo grande</t>
  </si>
  <si>
    <t>jugo natural mora pequeño</t>
  </si>
  <si>
    <t>jugo natural mora mediano</t>
  </si>
  <si>
    <t>jugo natural mora grande</t>
  </si>
  <si>
    <t>jugo natural fresa pequeño</t>
  </si>
  <si>
    <t>jugo natural fresa mediano</t>
  </si>
  <si>
    <t>jugo natural fresa grande</t>
  </si>
  <si>
    <t>jugo natural guanabana pequeño</t>
  </si>
  <si>
    <t>jugo natural guanabana mediano</t>
  </si>
  <si>
    <t>jugo natural guanabana grande</t>
  </si>
  <si>
    <t>jugo natural lulo pequeño</t>
  </si>
  <si>
    <t>jugo natural lulo mediano</t>
  </si>
  <si>
    <t>jugo natural lulo grande</t>
  </si>
  <si>
    <t>malteada (helado) fresa pequeño</t>
  </si>
  <si>
    <t>malteada (helado) fresa grande</t>
  </si>
  <si>
    <t>malteada (helado) fresa mediano</t>
  </si>
  <si>
    <t>malteada (helado) vainilla pequeño</t>
  </si>
  <si>
    <t>malteada (helado) vainilla mediano</t>
  </si>
  <si>
    <t>malteada (helado) vainilla grande</t>
  </si>
  <si>
    <t>malteada (helado) chocolate pequeño</t>
  </si>
  <si>
    <t>malteada (helado) chocolate mediano</t>
  </si>
  <si>
    <t>malteada (helado) chocolate grande</t>
  </si>
  <si>
    <t>malteada (helado) chicle pequeño</t>
  </si>
  <si>
    <t>malteada (helado) chicle mediano</t>
  </si>
  <si>
    <t>malteada (helado) chicle grande</t>
  </si>
  <si>
    <t>maracumango pequeño</t>
  </si>
  <si>
    <t>maracumango grande</t>
  </si>
  <si>
    <t>maracumango mediano</t>
  </si>
  <si>
    <t>bananada pequeño</t>
  </si>
  <si>
    <t>bananada mediano</t>
  </si>
  <si>
    <t>bananada grande</t>
  </si>
  <si>
    <t>cholado pequeño</t>
  </si>
  <si>
    <t>cholado mediano</t>
  </si>
  <si>
    <t>cholado grande</t>
  </si>
  <si>
    <t>helado fresa pequeño</t>
  </si>
  <si>
    <t>helado fresa mediano</t>
  </si>
  <si>
    <t>helado fresa grande</t>
  </si>
  <si>
    <t>helado vainilla pequeño</t>
  </si>
  <si>
    <t>helado vainilla mediano</t>
  </si>
  <si>
    <t>helado vainilla grande</t>
  </si>
  <si>
    <t>helado chocolate pequeño</t>
  </si>
  <si>
    <t>helado chocolate mediano</t>
  </si>
  <si>
    <t>helado chocolate grande</t>
  </si>
  <si>
    <t>helado chicle pequeño</t>
  </si>
  <si>
    <t>helado chicle mediano</t>
  </si>
  <si>
    <t>helado chicle grande</t>
  </si>
  <si>
    <t>raspado pequeño</t>
  </si>
  <si>
    <t>raspado mediano</t>
  </si>
  <si>
    <t>raspado grande</t>
  </si>
  <si>
    <t>fresas con chocolate,granizado mango</t>
  </si>
  <si>
    <t>toppings</t>
  </si>
  <si>
    <t>chispas de colores</t>
  </si>
  <si>
    <t>crema oreo</t>
  </si>
  <si>
    <t>galleta chocolate</t>
  </si>
  <si>
    <t>enrollado</t>
  </si>
  <si>
    <t>Chantilly</t>
  </si>
  <si>
    <t>Nutella</t>
  </si>
  <si>
    <t>granola</t>
  </si>
  <si>
    <t>coco rallado</t>
  </si>
  <si>
    <t>nueces</t>
  </si>
  <si>
    <t>waffle,sodificadas mango</t>
  </si>
  <si>
    <t>malteada (helado) chocolate, wafle, creppe</t>
  </si>
  <si>
    <t>2,2,2</t>
  </si>
  <si>
    <t>jugo natural guanabana, jugo natural lulo</t>
  </si>
  <si>
    <t xml:space="preserve">natalia.restrepo@gmail.com </t>
  </si>
  <si>
    <t>maracuyada, cerezada</t>
  </si>
  <si>
    <t>limonada de coco,helado vainilla</t>
  </si>
  <si>
    <t>jugo en leche guanabana, fresas magicas</t>
  </si>
  <si>
    <t>2,3,4,7,1</t>
  </si>
  <si>
    <t>waffle,sodificadas mango,raspado,helado chicle,fresas magicas</t>
  </si>
  <si>
    <t>helado chocolate,helado vainilla</t>
  </si>
  <si>
    <t>jugo en leche guanabana, jugo en leche mora</t>
  </si>
  <si>
    <t>cholado,raspado</t>
  </si>
  <si>
    <t>grande,mediano,pequeño</t>
  </si>
  <si>
    <t>mediano,mediano</t>
  </si>
  <si>
    <t>mediano,pequeño</t>
  </si>
  <si>
    <t>grande,mediano</t>
  </si>
  <si>
    <t>grande,grande</t>
  </si>
  <si>
    <t>grande,pequeño</t>
  </si>
  <si>
    <t>grande,mediano,mediano,pequeño, pequeño</t>
  </si>
  <si>
    <t>brownie,chispas de colores</t>
  </si>
  <si>
    <t>nutella</t>
  </si>
  <si>
    <t>chantilly,mango</t>
  </si>
  <si>
    <t>granola,leche condensada, nutella</t>
  </si>
  <si>
    <t>nueces,coco rallado</t>
  </si>
  <si>
    <t>oreo,enrollado</t>
  </si>
  <si>
    <t>coco rallado,chispas de chocolate</t>
  </si>
  <si>
    <t>limonada de coco,sodificadas maracuya</t>
  </si>
  <si>
    <t>fresa,nueces</t>
  </si>
  <si>
    <t>galletas de chocolate</t>
  </si>
  <si>
    <t>enrollado,fresa,chantilly,nutella,chispas de colores</t>
  </si>
  <si>
    <t>fresas,mango</t>
  </si>
  <si>
    <t>crema oreo,arequipe</t>
  </si>
  <si>
    <t>Toppings</t>
  </si>
  <si>
    <t>Valor Topping</t>
  </si>
  <si>
    <t>20.000 , 22.000</t>
  </si>
  <si>
    <t>2.500 , 1.000</t>
  </si>
  <si>
    <t>23.000 , 19.000</t>
  </si>
  <si>
    <t>1.500 , 2.000</t>
  </si>
  <si>
    <t xml:space="preserve">23.000 , 23.000 , 20.000 </t>
  </si>
  <si>
    <t>1.500 , 1.500 , 2.000</t>
  </si>
  <si>
    <t>15.000 , 15.000</t>
  </si>
  <si>
    <t>14.000 , 14.000</t>
  </si>
  <si>
    <t>1.500 , 1.000</t>
  </si>
  <si>
    <t>17.000 , 20.000</t>
  </si>
  <si>
    <t>1.000 , 1.000</t>
  </si>
  <si>
    <t>19.000 , 26.000</t>
  </si>
  <si>
    <t>17.000 , 15.000</t>
  </si>
  <si>
    <t>2.000 , 1.500</t>
  </si>
  <si>
    <t>25.000 , 17.000 , 14.000 , 15.000 , 20.000</t>
  </si>
  <si>
    <t>1.000 , 2.000 , 1.500 , 2.000 , 1.000</t>
  </si>
  <si>
    <t>20.000 , 20.000</t>
  </si>
  <si>
    <t>2.000 , 2.000</t>
  </si>
  <si>
    <t>18.000 , 16.000</t>
  </si>
  <si>
    <t>Juan</t>
  </si>
  <si>
    <t>Perez</t>
  </si>
  <si>
    <t>Laura</t>
  </si>
  <si>
    <t>Gómez</t>
  </si>
  <si>
    <t>Carlos</t>
  </si>
  <si>
    <t>Rodriguez</t>
  </si>
  <si>
    <t>Maria</t>
  </si>
  <si>
    <t>Martínez</t>
  </si>
  <si>
    <t>Andrés</t>
  </si>
  <si>
    <t>López</t>
  </si>
  <si>
    <t>Daniela</t>
  </si>
  <si>
    <t>Torres</t>
  </si>
  <si>
    <t>Sebastian</t>
  </si>
  <si>
    <t>Ramirez</t>
  </si>
  <si>
    <t>Valentina</t>
  </si>
  <si>
    <t>Castro</t>
  </si>
  <si>
    <t>Felipe</t>
  </si>
  <si>
    <t>Moreno</t>
  </si>
  <si>
    <t>Camila</t>
  </si>
  <si>
    <t>Vargas</t>
  </si>
  <si>
    <t>Nicolas</t>
  </si>
  <si>
    <t>Herrera</t>
  </si>
  <si>
    <t>Sofia</t>
  </si>
  <si>
    <t>Rojas</t>
  </si>
  <si>
    <t>Mateo</t>
  </si>
  <si>
    <t>Jimenez</t>
  </si>
  <si>
    <t>Isabella</t>
  </si>
  <si>
    <t>Santiago</t>
  </si>
  <si>
    <t>Diaz</t>
  </si>
  <si>
    <t>Mariana</t>
  </si>
  <si>
    <t>Silva</t>
  </si>
  <si>
    <t>David</t>
  </si>
  <si>
    <t>Cardenas</t>
  </si>
  <si>
    <t>Natalia</t>
  </si>
  <si>
    <t>Restrepo</t>
  </si>
  <si>
    <t>Alejandro</t>
  </si>
  <si>
    <t>Ortiz</t>
  </si>
  <si>
    <t>Gabriela</t>
  </si>
  <si>
    <t>Navarro</t>
  </si>
  <si>
    <t>Sanchez</t>
  </si>
  <si>
    <t>Paula</t>
  </si>
  <si>
    <t>Mendoza</t>
  </si>
  <si>
    <t>Miguel</t>
  </si>
  <si>
    <t>Arias</t>
  </si>
  <si>
    <t>Sara</t>
  </si>
  <si>
    <t>Molina</t>
  </si>
  <si>
    <t>Esteban</t>
  </si>
  <si>
    <t>Guerrero</t>
  </si>
  <si>
    <t>Juliana</t>
  </si>
  <si>
    <t>Peña</t>
  </si>
  <si>
    <t>Tomas</t>
  </si>
  <si>
    <t>Acosta</t>
  </si>
  <si>
    <t>Manuela</t>
  </si>
  <si>
    <t>Pardo</t>
  </si>
  <si>
    <t>Jorge</t>
  </si>
  <si>
    <t>Beltran</t>
  </si>
  <si>
    <t>Ana</t>
  </si>
  <si>
    <t>Salazar</t>
  </si>
  <si>
    <t>CC</t>
  </si>
  <si>
    <t>Tipo de Documento</t>
  </si>
  <si>
    <t>Apellido</t>
  </si>
  <si>
    <t>Numero Documento</t>
  </si>
  <si>
    <t>granizado mango</t>
  </si>
  <si>
    <t>waffle</t>
  </si>
  <si>
    <t>sodificadas mango</t>
  </si>
  <si>
    <t>chantilly</t>
  </si>
  <si>
    <t>malteada (helado) chocolate</t>
  </si>
  <si>
    <t>wafle</t>
  </si>
  <si>
    <t>jugo natural guanabana</t>
  </si>
  <si>
    <t>jugo natural lulo</t>
  </si>
  <si>
    <t>limonada de coco</t>
  </si>
  <si>
    <t>chispas de chocolate</t>
  </si>
  <si>
    <t>helado vainilla</t>
  </si>
  <si>
    <t>jugo en leche guanabana</t>
  </si>
  <si>
    <t>fresas magicas</t>
  </si>
  <si>
    <t>sodificadas maracuya</t>
  </si>
  <si>
    <t>helado chicle</t>
  </si>
  <si>
    <t>helado chocolate</t>
  </si>
  <si>
    <t>fresas</t>
  </si>
  <si>
    <t>jugo en leche mora</t>
  </si>
  <si>
    <t>Bogota, Carrera 10 #25-18</t>
  </si>
  <si>
    <t>Bogota, Calle 63 #18-45</t>
  </si>
  <si>
    <t>Bogota, Carrera 68 #42-15</t>
  </si>
  <si>
    <t>Bogota, Calle 80 #23-10</t>
  </si>
  <si>
    <t>Bogota, Carrera 30 #15-27</t>
  </si>
  <si>
    <t>Bogota, Calle 100 #8-22</t>
  </si>
  <si>
    <t>Bogota, Carrera 15 #60-35</t>
  </si>
  <si>
    <t>Bogota, Carrera 50 #32-12</t>
  </si>
  <si>
    <t>Bogota, Calle 25 #14-08</t>
  </si>
  <si>
    <t>Bogota, Carrera 7 #80-25</t>
  </si>
  <si>
    <t>Bogota, Calle 52 #20-14</t>
  </si>
  <si>
    <t>Bogota, Carrera 23 #45-19</t>
  </si>
  <si>
    <t>Bogota, Calle 91 #16-32</t>
  </si>
  <si>
    <t>Bogota, Carrera 40 #27-11</t>
  </si>
  <si>
    <t>Bogota, Calle 34 #55-20</t>
  </si>
  <si>
    <t>Bogota, Carrera 60 #18-42</t>
  </si>
  <si>
    <t>Bogota, Calle 67 #30-15</t>
  </si>
  <si>
    <t>Bogota, Carrera 12 #70-26</t>
  </si>
  <si>
    <t>Bogota, Calle 48 #22-17</t>
  </si>
  <si>
    <t>Bogota, Carrera 35 #12-40</t>
  </si>
  <si>
    <t>Bogota, Calle 75 #19-28</t>
  </si>
  <si>
    <t>Bogota, Carrera 18 #52-09</t>
  </si>
  <si>
    <t>Bogota, Calle 60 #33-18</t>
  </si>
  <si>
    <t>Bogota, Carrera 45 #28-31</t>
  </si>
  <si>
    <t>Bogota, Calle 85 #10-23</t>
  </si>
  <si>
    <t>Bogota, Calle 42 #75-12</t>
  </si>
  <si>
    <t>Bogota, Carrera 55 #35-24</t>
  </si>
  <si>
    <t>Clientes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</si>
  <si>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</si>
  <si>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</si>
  <si>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</si>
  <si>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</si>
  <si>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</si>
  <si>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</si>
  <si>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</si>
  <si>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</si>
  <si>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</si>
  <si>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</si>
  <si>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</si>
  <si>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</si>
  <si>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</si>
  <si>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</si>
  <si>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</si>
  <si>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</si>
  <si>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</si>
  <si>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</si>
  <si>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</si>
  <si>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</si>
  <si>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</si>
  <si>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</si>
  <si>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</si>
  <si>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</si>
  <si>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</si>
  <si>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</si>
  <si>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</si>
  <si>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</si>
  <si>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</si>
  <si>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</si>
  <si>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Id_cliente</t>
  </si>
  <si>
    <t>TI</t>
  </si>
  <si>
    <t>TI 1030123456</t>
  </si>
  <si>
    <t>TI 1025678901</t>
  </si>
  <si>
    <t>TI 1016789012</t>
  </si>
  <si>
    <t>D001</t>
  </si>
  <si>
    <t>D002</t>
  </si>
  <si>
    <t>Medellin</t>
  </si>
  <si>
    <t>Medellin, Calle 45 #12-30</t>
  </si>
  <si>
    <t>Medellin, Carrera 25 #63-16</t>
  </si>
  <si>
    <t>Medellin, Calle 72 #40-16</t>
  </si>
  <si>
    <t>Pedido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</si>
  <si>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</si>
  <si>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</si>
  <si>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</si>
  <si>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</si>
  <si>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</si>
  <si>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</si>
  <si>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</si>
  <si>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</si>
  <si>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</si>
  <si>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</si>
  <si>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</si>
  <si>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</si>
  <si>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</si>
  <si>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</si>
  <si>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</si>
  <si>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</si>
  <si>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</si>
  <si>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</si>
  <si>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</si>
  <si>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</si>
  <si>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</si>
  <si>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</si>
  <si>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</si>
  <si>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</si>
  <si>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</si>
  <si>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</si>
  <si>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</si>
  <si>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</si>
  <si>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</si>
  <si>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</si>
  <si>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</si>
  <si>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Id_pedido</t>
  </si>
  <si>
    <t>carlos.rodriguez@hotmail.com</t>
  </si>
  <si>
    <t>ana.salazar@hotmail.com</t>
  </si>
  <si>
    <t>Correo electronico</t>
  </si>
  <si>
    <t>id_correo</t>
  </si>
  <si>
    <t>Tipo de correo</t>
  </si>
  <si>
    <t>Hotmail</t>
  </si>
  <si>
    <t>Gmail</t>
  </si>
  <si>
    <t>CR001</t>
  </si>
  <si>
    <t>CR002</t>
  </si>
  <si>
    <t>id_ciudad</t>
  </si>
  <si>
    <t>V001</t>
  </si>
  <si>
    <t>V002</t>
  </si>
  <si>
    <t>id_documento</t>
  </si>
  <si>
    <t>Tipo</t>
  </si>
  <si>
    <t>id_producto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</si>
  <si>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</si>
  <si>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</si>
  <si>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</si>
  <si>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</si>
  <si>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</si>
  <si>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</si>
  <si>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</si>
  <si>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</si>
  <si>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</si>
  <si>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</si>
  <si>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</si>
  <si>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</si>
  <si>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</si>
  <si>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</si>
  <si>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</si>
  <si>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</si>
  <si>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</si>
  <si>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</si>
  <si>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</si>
  <si>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</si>
  <si>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</si>
  <si>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</si>
  <si>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</si>
  <si>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</si>
  <si>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</si>
  <si>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</si>
  <si>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</si>
  <si>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</si>
  <si>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</si>
  <si>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</si>
  <si>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</si>
  <si>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</si>
  <si>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</si>
  <si>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</si>
  <si>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</si>
  <si>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</si>
  <si>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</si>
  <si>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</si>
  <si>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</si>
  <si>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</si>
  <si>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</si>
  <si>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</si>
  <si>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</si>
  <si>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</si>
  <si>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</si>
  <si>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</si>
  <si>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</si>
  <si>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</si>
  <si>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</si>
  <si>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</si>
  <si>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</si>
  <si>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</si>
  <si>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</si>
  <si>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</si>
  <si>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</si>
  <si>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PR056</t>
  </si>
  <si>
    <t>PR057</t>
  </si>
  <si>
    <t>PR058</t>
  </si>
  <si>
    <t>PR059</t>
  </si>
  <si>
    <t>PR060</t>
  </si>
  <si>
    <t>PR061</t>
  </si>
  <si>
    <t>PR062</t>
  </si>
  <si>
    <t>PR063</t>
  </si>
  <si>
    <t>PR064</t>
  </si>
  <si>
    <t>PR065</t>
  </si>
  <si>
    <t>PR066</t>
  </si>
  <si>
    <t>PR067</t>
  </si>
  <si>
    <t>PR068</t>
  </si>
  <si>
    <t>PR069</t>
  </si>
  <si>
    <t>PR070</t>
  </si>
  <si>
    <t>PR071</t>
  </si>
  <si>
    <t>PR072</t>
  </si>
  <si>
    <t>PR073</t>
  </si>
  <si>
    <t>PR074</t>
  </si>
  <si>
    <t>PR075</t>
  </si>
  <si>
    <t>PR076</t>
  </si>
  <si>
    <t>PR077</t>
  </si>
  <si>
    <t>PR078</t>
  </si>
  <si>
    <t>PR079</t>
  </si>
  <si>
    <t>PR080</t>
  </si>
  <si>
    <t>PR081</t>
  </si>
  <si>
    <t>PR082</t>
  </si>
  <si>
    <t>PR083</t>
  </si>
  <si>
    <t>PR084</t>
  </si>
  <si>
    <t>PR085</t>
  </si>
  <si>
    <t>PR086</t>
  </si>
  <si>
    <t>PR087</t>
  </si>
  <si>
    <t>PR088</t>
  </si>
  <si>
    <t>PR089</t>
  </si>
  <si>
    <t>PR090</t>
  </si>
  <si>
    <t>PR091</t>
  </si>
  <si>
    <t>PR092</t>
  </si>
  <si>
    <t>PR093</t>
  </si>
  <si>
    <t>PR094</t>
  </si>
  <si>
    <t>PR095</t>
  </si>
  <si>
    <t>PR096</t>
  </si>
  <si>
    <t>PR097</t>
  </si>
  <si>
    <t>PR098</t>
  </si>
  <si>
    <t>PR099</t>
  </si>
  <si>
    <t>PR100</t>
  </si>
  <si>
    <t>PR101</t>
  </si>
  <si>
    <t>PR102</t>
  </si>
  <si>
    <t>PR103</t>
  </si>
  <si>
    <t>PR104</t>
  </si>
  <si>
    <t>PR105</t>
  </si>
  <si>
    <t>PR106</t>
  </si>
  <si>
    <t>PR107</t>
  </si>
  <si>
    <t>PR108</t>
  </si>
  <si>
    <t>PR109</t>
  </si>
  <si>
    <t>PR110</t>
  </si>
  <si>
    <t>PR111</t>
  </si>
  <si>
    <t>id_toppings</t>
  </si>
  <si>
    <t>valor toppigns</t>
  </si>
  <si>
    <t>productos</t>
  </si>
  <si>
    <t>valor producto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</si>
  <si>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</si>
  <si>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</si>
  <si>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</si>
  <si>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</si>
  <si>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</si>
  <si>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</si>
  <si>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</si>
  <si>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</si>
  <si>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</si>
  <si>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</si>
  <si>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</si>
  <si>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</si>
  <si>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</si>
  <si>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</si>
  <si>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</si>
  <si>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</si>
  <si>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id_tamaño</t>
  </si>
  <si>
    <t>tamaño</t>
  </si>
  <si>
    <t>Pequeño</t>
  </si>
  <si>
    <t>Mediano</t>
  </si>
  <si>
    <t>Grande</t>
  </si>
  <si>
    <t>TM001</t>
  </si>
  <si>
    <t>TM002</t>
  </si>
  <si>
    <t>TM003</t>
  </si>
  <si>
    <t>Categoria</t>
  </si>
  <si>
    <t>id_categoria</t>
  </si>
  <si>
    <t>Waffle</t>
  </si>
  <si>
    <t>Creppe</t>
  </si>
  <si>
    <t>Bebidas frias</t>
  </si>
  <si>
    <t>Jugos en leche</t>
  </si>
  <si>
    <t>Malteadas</t>
  </si>
  <si>
    <t>Postres con fresa</t>
  </si>
  <si>
    <t>Jugo natural</t>
  </si>
  <si>
    <t>Helados</t>
  </si>
  <si>
    <t>CA001</t>
  </si>
  <si>
    <t>CA002</t>
  </si>
  <si>
    <t>CA003</t>
  </si>
  <si>
    <t>CA004</t>
  </si>
  <si>
    <t>CA005</t>
  </si>
  <si>
    <t>CA006</t>
  </si>
  <si>
    <t>CA007</t>
  </si>
  <si>
    <t>CA008</t>
  </si>
  <si>
    <t>CA009</t>
  </si>
  <si>
    <t>Café frio</t>
  </si>
  <si>
    <t>Postres Helados</t>
  </si>
  <si>
    <t>CA010</t>
  </si>
  <si>
    <t>id_estado</t>
  </si>
  <si>
    <t>estado</t>
  </si>
  <si>
    <t>E001</t>
  </si>
  <si>
    <t>Pendiente</t>
  </si>
  <si>
    <t>E002</t>
  </si>
  <si>
    <t>En proceso</t>
  </si>
  <si>
    <t>E003</t>
  </si>
  <si>
    <t>Enviado</t>
  </si>
  <si>
    <t>E004</t>
  </si>
  <si>
    <t>Entregado</t>
  </si>
  <si>
    <t>E005</t>
  </si>
  <si>
    <t>Cancelado</t>
  </si>
  <si>
    <t>Estado/pedido</t>
  </si>
  <si>
    <t>id_metodo</t>
  </si>
  <si>
    <t>metodo_pago</t>
  </si>
  <si>
    <t>MP001</t>
  </si>
  <si>
    <t>Efectivo</t>
  </si>
  <si>
    <t>MP002</t>
  </si>
  <si>
    <t>Tarjeta débito</t>
  </si>
  <si>
    <t>MP003</t>
  </si>
  <si>
    <t>Tarjeta crédito</t>
  </si>
  <si>
    <t>MP004</t>
  </si>
  <si>
    <t>Nequi</t>
  </si>
  <si>
    <t>MP005</t>
  </si>
  <si>
    <t>Daviplata</t>
  </si>
  <si>
    <t>MP006</t>
  </si>
  <si>
    <t>PSE</t>
  </si>
  <si>
    <t>metodo/pago</t>
  </si>
  <si>
    <t>id_pedido</t>
  </si>
  <si>
    <t>id_pago</t>
  </si>
  <si>
    <t>Pago</t>
  </si>
  <si>
    <t>PG001</t>
  </si>
  <si>
    <t>PG002</t>
  </si>
  <si>
    <t>PG003</t>
  </si>
  <si>
    <t>PG004</t>
  </si>
  <si>
    <t>PG005</t>
  </si>
  <si>
    <t>PG006</t>
  </si>
  <si>
    <t>PG007</t>
  </si>
  <si>
    <t>PG008</t>
  </si>
  <si>
    <t>PG009</t>
  </si>
  <si>
    <t>PG010</t>
  </si>
  <si>
    <t>PG011</t>
  </si>
  <si>
    <t>PG012</t>
  </si>
  <si>
    <t>PG013</t>
  </si>
  <si>
    <t>PG014</t>
  </si>
  <si>
    <t>PG015</t>
  </si>
  <si>
    <t>PG016</t>
  </si>
  <si>
    <t>PG017</t>
  </si>
  <si>
    <t>PG018</t>
  </si>
  <si>
    <t>PG019</t>
  </si>
  <si>
    <t>PG020</t>
  </si>
  <si>
    <t>PG021</t>
  </si>
  <si>
    <t>PG022</t>
  </si>
  <si>
    <t>PG023</t>
  </si>
  <si>
    <t>PG024</t>
  </si>
  <si>
    <t>PG025</t>
  </si>
  <si>
    <t>PG026</t>
  </si>
  <si>
    <t>PG027</t>
  </si>
  <si>
    <t>PG028</t>
  </si>
  <si>
    <t>PG029</t>
  </si>
  <si>
    <t>PG030</t>
  </si>
  <si>
    <t>PG031</t>
  </si>
  <si>
    <t>fecha_pago</t>
  </si>
  <si>
    <t>Detalle/pedido</t>
  </si>
  <si>
    <t>id_detalle</t>
  </si>
  <si>
    <t>DP001</t>
  </si>
  <si>
    <t>DP002</t>
  </si>
  <si>
    <t>DP003</t>
  </si>
  <si>
    <t>DP004</t>
  </si>
  <si>
    <t>DP005</t>
  </si>
  <si>
    <t>DP006</t>
  </si>
  <si>
    <t>DP007</t>
  </si>
  <si>
    <t>DP008</t>
  </si>
  <si>
    <t>DP009</t>
  </si>
  <si>
    <t>DP010</t>
  </si>
  <si>
    <t>DP011</t>
  </si>
  <si>
    <t>DP012</t>
  </si>
  <si>
    <t>DP013</t>
  </si>
  <si>
    <t>DP014</t>
  </si>
  <si>
    <t>DP015</t>
  </si>
  <si>
    <t>DP016</t>
  </si>
  <si>
    <t>DP017</t>
  </si>
  <si>
    <t>DP018</t>
  </si>
  <si>
    <t>DP019</t>
  </si>
  <si>
    <t>DP020</t>
  </si>
  <si>
    <t>DP021</t>
  </si>
  <si>
    <t>DP022</t>
  </si>
  <si>
    <t>DP023</t>
  </si>
  <si>
    <t>DP024</t>
  </si>
  <si>
    <t>DP025</t>
  </si>
  <si>
    <t>DP026</t>
  </si>
  <si>
    <t>DP027</t>
  </si>
  <si>
    <t>DP028</t>
  </si>
  <si>
    <t>DP029</t>
  </si>
  <si>
    <t>DP030</t>
  </si>
  <si>
    <t>DP031</t>
  </si>
  <si>
    <t>id_pqrs</t>
  </si>
  <si>
    <t>id_cliente</t>
  </si>
  <si>
    <t>tipo</t>
  </si>
  <si>
    <t>asunto</t>
  </si>
  <si>
    <t>descripcion</t>
  </si>
  <si>
    <t>fecha</t>
  </si>
  <si>
    <t>PQ001</t>
  </si>
  <si>
    <t>Petición</t>
  </si>
  <si>
    <t>Consulta sobre mi pedido</t>
  </si>
  <si>
    <t>Resuelto</t>
  </si>
  <si>
    <t>PQ002</t>
  </si>
  <si>
    <t>Queja</t>
  </si>
  <si>
    <t>Producto diferente al solicitado</t>
  </si>
  <si>
    <t>PQ003</t>
  </si>
  <si>
    <t>Sugerencia</t>
  </si>
  <si>
    <t>Página</t>
  </si>
  <si>
    <t>Agregar más productos</t>
  </si>
  <si>
    <t>En revisión</t>
  </si>
  <si>
    <t>PQ004</t>
  </si>
  <si>
    <t>PQ005</t>
  </si>
  <si>
    <t>PQ006</t>
  </si>
  <si>
    <t>PQ007</t>
  </si>
  <si>
    <t>PQ008</t>
  </si>
  <si>
    <t>PQ009</t>
  </si>
  <si>
    <t>Pqrs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</si>
</sst>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A6BD"/>
        <bgColor rgb="FFD5A6B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44E79"/>
        <bgColor rgb="FFD5A6BD"/>
      </patternFill>
    </fill>
    <fill>
      <patternFill patternType="solid">
        <fgColor rgb="FFD5A6B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DFDB5"/>
        <bgColor indexed="64"/>
      </patternFill>
    </fill>
    <fill>
      <patternFill patternType="solid">
        <fgColor rgb="FF07D76A"/>
        <bgColor indexed="64"/>
      </patternFill>
    </fill>
    <fill>
      <patternFill patternType="solid">
        <fgColor rgb="FF00809E"/>
        <bgColor indexed="64"/>
      </patternFill>
    </fill>
    <fill>
      <patternFill patternType="solid">
        <fgColor rgb="FF00B2D6"/>
        <bgColor indexed="64"/>
      </patternFill>
    </fill>
    <fill>
      <patternFill patternType="solid">
        <fgColor rgb="FFC83838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1" applyBorder="1"/>
    <xf numFmtId="0" fontId="1" fillId="2" borderId="1" xfId="0" applyFont="1" applyFill="1" applyBorder="1"/>
    <xf numFmtId="0" fontId="4" fillId="0" borderId="2" xfId="0" applyFont="1" applyBorder="1"/>
    <xf numFmtId="164" fontId="4" fillId="0" borderId="2" xfId="2" applyNumberFormat="1" applyFont="1" applyBorder="1" applyAlignment="1">
      <alignment horizontal="right"/>
    </xf>
    <xf numFmtId="0" fontId="4" fillId="3" borderId="2" xfId="0" applyFont="1" applyFill="1" applyBorder="1"/>
    <xf numFmtId="164" fontId="4" fillId="3" borderId="2" xfId="2" applyNumberFormat="1" applyFont="1" applyFill="1" applyBorder="1" applyAlignment="1">
      <alignment horizontal="right"/>
    </xf>
    <xf numFmtId="0" fontId="4" fillId="4" borderId="2" xfId="0" applyFont="1" applyFill="1" applyBorder="1"/>
    <xf numFmtId="164" fontId="4" fillId="4" borderId="2" xfId="2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2" applyNumberFormat="1" applyFont="1" applyFill="1" applyBorder="1" applyAlignment="1">
      <alignment horizontal="right"/>
    </xf>
    <xf numFmtId="0" fontId="4" fillId="6" borderId="2" xfId="0" applyFont="1" applyFill="1" applyBorder="1"/>
    <xf numFmtId="164" fontId="4" fillId="6" borderId="2" xfId="2" applyNumberFormat="1" applyFont="1" applyFill="1" applyBorder="1" applyAlignment="1">
      <alignment horizontal="right"/>
    </xf>
    <xf numFmtId="0" fontId="4" fillId="7" borderId="2" xfId="0" applyFont="1" applyFill="1" applyBorder="1"/>
    <xf numFmtId="164" fontId="4" fillId="7" borderId="2" xfId="2" applyNumberFormat="1" applyFont="1" applyFill="1" applyBorder="1" applyAlignment="1">
      <alignment horizontal="right"/>
    </xf>
    <xf numFmtId="164" fontId="4" fillId="0" borderId="2" xfId="2" applyNumberFormat="1" applyFont="1" applyFill="1" applyBorder="1" applyAlignment="1">
      <alignment horizontal="right"/>
    </xf>
    <xf numFmtId="0" fontId="4" fillId="8" borderId="3" xfId="0" applyFont="1" applyFill="1" applyBorder="1"/>
    <xf numFmtId="0" fontId="4" fillId="0" borderId="1" xfId="0" applyFont="1" applyBorder="1" applyAlignment="1">
      <alignment horizontal="left"/>
    </xf>
    <xf numFmtId="164" fontId="0" fillId="0" borderId="1" xfId="2" applyNumberFormat="1" applyFont="1" applyBorder="1"/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0" borderId="4" xfId="0" applyBorder="1"/>
    <xf numFmtId="0" fontId="0" fillId="0" borderId="1" xfId="2" applyNumberFormat="1" applyFont="1" applyBorder="1" applyAlignment="1">
      <alignment horizontal="center"/>
    </xf>
    <xf numFmtId="3" fontId="0" fillId="0" borderId="1" xfId="2" applyNumberFormat="1" applyFont="1" applyBorder="1" applyAlignment="1">
      <alignment horizontal="center"/>
    </xf>
    <xf numFmtId="0" fontId="4" fillId="0" borderId="0" xfId="0" applyFont="1"/>
    <xf numFmtId="164" fontId="4" fillId="0" borderId="0" xfId="2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164" fontId="0" fillId="0" borderId="0" xfId="2" applyNumberFormat="1" applyFont="1" applyFill="1" applyBorder="1"/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wrapText="1"/>
    </xf>
    <xf numFmtId="164" fontId="0" fillId="0" borderId="1" xfId="2" applyNumberFormat="1" applyFont="1" applyBorder="1" applyAlignment="1">
      <alignment horizontal="center"/>
    </xf>
    <xf numFmtId="0" fontId="1" fillId="9" borderId="1" xfId="0" applyFont="1" applyFill="1" applyBorder="1"/>
    <xf numFmtId="0" fontId="1" fillId="10" borderId="1" xfId="0" applyFont="1" applyFill="1" applyBorder="1"/>
    <xf numFmtId="0" fontId="0" fillId="10" borderId="1" xfId="0" applyFill="1" applyBorder="1"/>
    <xf numFmtId="0" fontId="0" fillId="0" borderId="0" xfId="0" applyAlignment="1">
      <alignment horizontal="center"/>
    </xf>
    <xf numFmtId="0" fontId="0" fillId="4" borderId="1" xfId="0" applyFill="1" applyBorder="1"/>
    <xf numFmtId="0" fontId="1" fillId="0" borderId="0" xfId="0" applyFont="1"/>
    <xf numFmtId="0" fontId="0" fillId="15" borderId="1" xfId="0" applyFill="1" applyBorder="1"/>
    <xf numFmtId="0" fontId="0" fillId="3" borderId="1" xfId="0" applyFill="1" applyBorder="1"/>
    <xf numFmtId="0" fontId="4" fillId="0" borderId="1" xfId="0" applyFont="1" applyBorder="1"/>
    <xf numFmtId="164" fontId="4" fillId="0" borderId="1" xfId="2" applyNumberFormat="1" applyFont="1" applyFill="1" applyBorder="1" applyAlignment="1">
      <alignment horizontal="right"/>
    </xf>
    <xf numFmtId="164" fontId="4" fillId="0" borderId="1" xfId="2" applyNumberFormat="1" applyFont="1" applyBorder="1" applyAlignment="1">
      <alignment horizontal="right"/>
    </xf>
    <xf numFmtId="0" fontId="0" fillId="18" borderId="1" xfId="0" applyFill="1" applyBorder="1"/>
    <xf numFmtId="0" fontId="0" fillId="6" borderId="1" xfId="0" applyFill="1" applyBorder="1"/>
    <xf numFmtId="0" fontId="0" fillId="20" borderId="1" xfId="0" applyFill="1" applyBorder="1"/>
    <xf numFmtId="0" fontId="0" fillId="23" borderId="1" xfId="0" applyFill="1" applyBorder="1"/>
    <xf numFmtId="0" fontId="0" fillId="25" borderId="1" xfId="0" applyFill="1" applyBorder="1"/>
    <xf numFmtId="0" fontId="1" fillId="10" borderId="1" xfId="0" applyFont="1" applyFill="1" applyBorder="1" applyAlignment="1">
      <alignment horizontal="center"/>
    </xf>
    <xf numFmtId="14" fontId="0" fillId="0" borderId="1" xfId="0" applyNumberFormat="1" applyBorder="1" applyAlignment="1">
      <alignment vertical="center"/>
    </xf>
    <xf numFmtId="164" fontId="0" fillId="0" borderId="0" xfId="2" applyNumberFormat="1" applyFont="1" applyFill="1" applyBorder="1" applyAlignment="1">
      <alignment horizontal="center"/>
    </xf>
    <xf numFmtId="164" fontId="0" fillId="0" borderId="1" xfId="2" applyNumberFormat="1" applyFont="1" applyBorder="1" applyAlignment="1"/>
    <xf numFmtId="0" fontId="1" fillId="5" borderId="1" xfId="0" applyFont="1" applyFill="1" applyBorder="1"/>
    <xf numFmtId="0" fontId="0" fillId="5" borderId="1" xfId="0" applyFill="1" applyBorder="1"/>
    <xf numFmtId="0" fontId="0" fillId="24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26" borderId="5" xfId="0" applyFill="1" applyBorder="1" applyAlignment="1">
      <alignment horizontal="center"/>
    </xf>
    <xf numFmtId="0" fontId="0" fillId="26" borderId="6" xfId="0" applyFill="1" applyBorder="1" applyAlignment="1">
      <alignment horizontal="center"/>
    </xf>
    <xf numFmtId="0" fontId="0" fillId="26" borderId="7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FF8989"/>
      <color rgb="FFC83838"/>
      <color rgb="FF00B2D6"/>
      <color rgb="FF00809E"/>
      <color rgb="FF07D76A"/>
      <color rgb="FFADFDB5"/>
      <color rgb="FFD5A6BD"/>
      <color rgb="FFA4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elipe.moreno@gmail.com%20" TargetMode="External"/><Relationship Id="rId13" Type="http://schemas.openxmlformats.org/officeDocument/2006/relationships/hyperlink" Target="mailto:santiago.diaz@gmail.com" TargetMode="External"/><Relationship Id="rId18" Type="http://schemas.openxmlformats.org/officeDocument/2006/relationships/hyperlink" Target="mailto:alejandro.ortiz@gmail.com" TargetMode="External"/><Relationship Id="rId26" Type="http://schemas.openxmlformats.org/officeDocument/2006/relationships/hyperlink" Target="mailto:tomas.acosta@gmail.com" TargetMode="External"/><Relationship Id="rId3" Type="http://schemas.openxmlformats.org/officeDocument/2006/relationships/hyperlink" Target="mailto:maria.martinez@gmail.com%20" TargetMode="External"/><Relationship Id="rId21" Type="http://schemas.openxmlformats.org/officeDocument/2006/relationships/hyperlink" Target="mailto:paula.mendoza@gmail.com" TargetMode="External"/><Relationship Id="rId7" Type="http://schemas.openxmlformats.org/officeDocument/2006/relationships/hyperlink" Target="mailto:valentina.castro@gmail.com%20" TargetMode="External"/><Relationship Id="rId12" Type="http://schemas.openxmlformats.org/officeDocument/2006/relationships/hyperlink" Target="mailto:sofia.rojas@gmail.com%20" TargetMode="External"/><Relationship Id="rId17" Type="http://schemas.openxmlformats.org/officeDocument/2006/relationships/hyperlink" Target="mailto:natalia.restrepo@gmail.com%20" TargetMode="External"/><Relationship Id="rId25" Type="http://schemas.openxmlformats.org/officeDocument/2006/relationships/hyperlink" Target="mailto:juliana.pena@gmail.com" TargetMode="External"/><Relationship Id="rId2" Type="http://schemas.openxmlformats.org/officeDocument/2006/relationships/hyperlink" Target="mailto:laura.gomez@gmail.com%20" TargetMode="External"/><Relationship Id="rId16" Type="http://schemas.openxmlformats.org/officeDocument/2006/relationships/hyperlink" Target="mailto:david.cardenas@gmail.com" TargetMode="External"/><Relationship Id="rId20" Type="http://schemas.openxmlformats.org/officeDocument/2006/relationships/hyperlink" Target="mailto:daniel.sanchez@gmail.com" TargetMode="External"/><Relationship Id="rId29" Type="http://schemas.openxmlformats.org/officeDocument/2006/relationships/hyperlink" Target="mailto:ana.salazar@hotmail.com" TargetMode="External"/><Relationship Id="rId1" Type="http://schemas.openxmlformats.org/officeDocument/2006/relationships/hyperlink" Target="mailto:juan.perez@gmail.com%20" TargetMode="External"/><Relationship Id="rId6" Type="http://schemas.openxmlformats.org/officeDocument/2006/relationships/hyperlink" Target="mailto:sebastian.ramirez@gmail.com%20" TargetMode="External"/><Relationship Id="rId11" Type="http://schemas.openxmlformats.org/officeDocument/2006/relationships/hyperlink" Target="mailto:mateo.jimenez@gmail.com" TargetMode="External"/><Relationship Id="rId24" Type="http://schemas.openxmlformats.org/officeDocument/2006/relationships/hyperlink" Target="mailto:esteban.guerrero@gmail.com" TargetMode="External"/><Relationship Id="rId5" Type="http://schemas.openxmlformats.org/officeDocument/2006/relationships/hyperlink" Target="mailto:daniela.torres@gmail.com%20" TargetMode="External"/><Relationship Id="rId15" Type="http://schemas.openxmlformats.org/officeDocument/2006/relationships/hyperlink" Target="mailto:mariana.silva@gmail.com" TargetMode="External"/><Relationship Id="rId23" Type="http://schemas.openxmlformats.org/officeDocument/2006/relationships/hyperlink" Target="mailto:sara.molina@gmail.com" TargetMode="External"/><Relationship Id="rId28" Type="http://schemas.openxmlformats.org/officeDocument/2006/relationships/hyperlink" Target="mailto:jorge.beltran@gmail.com" TargetMode="External"/><Relationship Id="rId10" Type="http://schemas.openxmlformats.org/officeDocument/2006/relationships/hyperlink" Target="mailto:nicolas.herrera@gmail.com" TargetMode="External"/><Relationship Id="rId19" Type="http://schemas.openxmlformats.org/officeDocument/2006/relationships/hyperlink" Target="mailto:gabriela.navarro@gmail.com" TargetMode="External"/><Relationship Id="rId4" Type="http://schemas.openxmlformats.org/officeDocument/2006/relationships/hyperlink" Target="mailto:andres.lopez@gmail.com%20" TargetMode="External"/><Relationship Id="rId9" Type="http://schemas.openxmlformats.org/officeDocument/2006/relationships/hyperlink" Target="mailto:camila.vargas@gmail.com%20" TargetMode="External"/><Relationship Id="rId14" Type="http://schemas.openxmlformats.org/officeDocument/2006/relationships/hyperlink" Target="mailto:isabella.moreno@gmail.com" TargetMode="External"/><Relationship Id="rId22" Type="http://schemas.openxmlformats.org/officeDocument/2006/relationships/hyperlink" Target="mailto:miguel.arias@gmail.com" TargetMode="External"/><Relationship Id="rId27" Type="http://schemas.openxmlformats.org/officeDocument/2006/relationships/hyperlink" Target="mailto:manuela.pardo@gmail.com" TargetMode="External"/><Relationship Id="rId30" Type="http://schemas.openxmlformats.org/officeDocument/2006/relationships/hyperlink" Target="mailto:carlos.rodriguez@hot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isabella.moreno@gmail.com" TargetMode="External"/><Relationship Id="rId18" Type="http://schemas.openxmlformats.org/officeDocument/2006/relationships/hyperlink" Target="mailto:daniel.sanchez@gmail.com" TargetMode="External"/><Relationship Id="rId26" Type="http://schemas.openxmlformats.org/officeDocument/2006/relationships/hyperlink" Target="mailto:jorge.beltran@gmail.com" TargetMode="External"/><Relationship Id="rId39" Type="http://schemas.openxmlformats.org/officeDocument/2006/relationships/hyperlink" Target="mailto:paula.mendoza@gmail.com" TargetMode="External"/><Relationship Id="rId21" Type="http://schemas.openxmlformats.org/officeDocument/2006/relationships/hyperlink" Target="mailto:sara.molina@gmail.com" TargetMode="External"/><Relationship Id="rId34" Type="http://schemas.openxmlformats.org/officeDocument/2006/relationships/hyperlink" Target="mailto:sofia.rojas@gmail.com%20" TargetMode="External"/><Relationship Id="rId42" Type="http://schemas.openxmlformats.org/officeDocument/2006/relationships/hyperlink" Target="mailto:esteban.guerrero@gmail.com" TargetMode="External"/><Relationship Id="rId7" Type="http://schemas.openxmlformats.org/officeDocument/2006/relationships/hyperlink" Target="mailto:felipe.moreno@gmail.com%20" TargetMode="External"/><Relationship Id="rId2" Type="http://schemas.openxmlformats.org/officeDocument/2006/relationships/hyperlink" Target="mailto:maria.martinez@gmail.com%20" TargetMode="External"/><Relationship Id="rId16" Type="http://schemas.openxmlformats.org/officeDocument/2006/relationships/hyperlink" Target="mailto:natalia.restrepo@gmail.com%20" TargetMode="External"/><Relationship Id="rId29" Type="http://schemas.openxmlformats.org/officeDocument/2006/relationships/hyperlink" Target="mailto:andres.lopez@gmail.com%20" TargetMode="External"/><Relationship Id="rId1" Type="http://schemas.openxmlformats.org/officeDocument/2006/relationships/hyperlink" Target="mailto:juan.perez@gmail.com%20" TargetMode="External"/><Relationship Id="rId6" Type="http://schemas.openxmlformats.org/officeDocument/2006/relationships/hyperlink" Target="mailto:valentina.castro@gmail.com%20" TargetMode="External"/><Relationship Id="rId11" Type="http://schemas.openxmlformats.org/officeDocument/2006/relationships/hyperlink" Target="mailto:sofia.rojas@gmail.com%20" TargetMode="External"/><Relationship Id="rId24" Type="http://schemas.openxmlformats.org/officeDocument/2006/relationships/hyperlink" Target="mailto:tomas.acosta@gmail.com" TargetMode="External"/><Relationship Id="rId32" Type="http://schemas.openxmlformats.org/officeDocument/2006/relationships/hyperlink" Target="mailto:valentina.castro@gmail.com%20" TargetMode="External"/><Relationship Id="rId37" Type="http://schemas.openxmlformats.org/officeDocument/2006/relationships/hyperlink" Target="mailto:natalia.restrepo@gmail.com%20" TargetMode="External"/><Relationship Id="rId40" Type="http://schemas.openxmlformats.org/officeDocument/2006/relationships/hyperlink" Target="mailto:paula.mendoza@gmail.com" TargetMode="External"/><Relationship Id="rId45" Type="http://schemas.openxmlformats.org/officeDocument/2006/relationships/hyperlink" Target="mailto:ana.salazar@hotmail.com" TargetMode="External"/><Relationship Id="rId5" Type="http://schemas.openxmlformats.org/officeDocument/2006/relationships/hyperlink" Target="mailto:sebastian.ramirez@gmail.com%20" TargetMode="External"/><Relationship Id="rId15" Type="http://schemas.openxmlformats.org/officeDocument/2006/relationships/hyperlink" Target="mailto:david.cardenas@gmail.com" TargetMode="External"/><Relationship Id="rId23" Type="http://schemas.openxmlformats.org/officeDocument/2006/relationships/hyperlink" Target="mailto:juliana.pena@gmail.com" TargetMode="External"/><Relationship Id="rId28" Type="http://schemas.openxmlformats.org/officeDocument/2006/relationships/hyperlink" Target="mailto:juan.perez@gmail.com%20" TargetMode="External"/><Relationship Id="rId36" Type="http://schemas.openxmlformats.org/officeDocument/2006/relationships/hyperlink" Target="mailto:alejandro.ortiz@gmail.com" TargetMode="External"/><Relationship Id="rId10" Type="http://schemas.openxmlformats.org/officeDocument/2006/relationships/hyperlink" Target="mailto:mateo.jimenez@gmail.com" TargetMode="External"/><Relationship Id="rId19" Type="http://schemas.openxmlformats.org/officeDocument/2006/relationships/hyperlink" Target="mailto:paula.mendoza@gmail.com" TargetMode="External"/><Relationship Id="rId31" Type="http://schemas.openxmlformats.org/officeDocument/2006/relationships/hyperlink" Target="mailto:sebastian.ramirez@gmail.com%20" TargetMode="External"/><Relationship Id="rId44" Type="http://schemas.openxmlformats.org/officeDocument/2006/relationships/hyperlink" Target="mailto:jorge.beltran@gmail.com" TargetMode="External"/><Relationship Id="rId4" Type="http://schemas.openxmlformats.org/officeDocument/2006/relationships/hyperlink" Target="mailto:daniela.torres@gmail.com%20" TargetMode="External"/><Relationship Id="rId9" Type="http://schemas.openxmlformats.org/officeDocument/2006/relationships/hyperlink" Target="mailto:nicolas.herrera@gmail.com" TargetMode="External"/><Relationship Id="rId14" Type="http://schemas.openxmlformats.org/officeDocument/2006/relationships/hyperlink" Target="mailto:mariana.silva@gmail.com" TargetMode="External"/><Relationship Id="rId22" Type="http://schemas.openxmlformats.org/officeDocument/2006/relationships/hyperlink" Target="mailto:esteban.guerrero@gmail.com" TargetMode="External"/><Relationship Id="rId27" Type="http://schemas.openxmlformats.org/officeDocument/2006/relationships/hyperlink" Target="mailto:laura.gomez@gmail.com%20" TargetMode="External"/><Relationship Id="rId30" Type="http://schemas.openxmlformats.org/officeDocument/2006/relationships/hyperlink" Target="mailto:sebastian.ramirez@gmail.com%20" TargetMode="External"/><Relationship Id="rId35" Type="http://schemas.openxmlformats.org/officeDocument/2006/relationships/hyperlink" Target="mailto:isabella.moreno@gmail.com" TargetMode="External"/><Relationship Id="rId43" Type="http://schemas.openxmlformats.org/officeDocument/2006/relationships/hyperlink" Target="mailto:manuela.pardo@gmail.com" TargetMode="External"/><Relationship Id="rId8" Type="http://schemas.openxmlformats.org/officeDocument/2006/relationships/hyperlink" Target="mailto:camila.vargas@gmail.com%20" TargetMode="External"/><Relationship Id="rId3" Type="http://schemas.openxmlformats.org/officeDocument/2006/relationships/hyperlink" Target="mailto:andres.lopez@gmail.com%20" TargetMode="External"/><Relationship Id="rId12" Type="http://schemas.openxmlformats.org/officeDocument/2006/relationships/hyperlink" Target="mailto:santiago.diaz@gmail.com" TargetMode="External"/><Relationship Id="rId17" Type="http://schemas.openxmlformats.org/officeDocument/2006/relationships/hyperlink" Target="mailto:gabriela.navarro@gmail.com" TargetMode="External"/><Relationship Id="rId25" Type="http://schemas.openxmlformats.org/officeDocument/2006/relationships/hyperlink" Target="mailto:manuela.pardo@gmail.com" TargetMode="External"/><Relationship Id="rId33" Type="http://schemas.openxmlformats.org/officeDocument/2006/relationships/hyperlink" Target="mailto:camila.vargas@gmail.com%20" TargetMode="External"/><Relationship Id="rId38" Type="http://schemas.openxmlformats.org/officeDocument/2006/relationships/hyperlink" Target="mailto:paula.mendoza@gmail.com" TargetMode="External"/><Relationship Id="rId46" Type="http://schemas.openxmlformats.org/officeDocument/2006/relationships/hyperlink" Target="mailto:carlos.rodriguez@hotmail.com" TargetMode="External"/><Relationship Id="rId20" Type="http://schemas.openxmlformats.org/officeDocument/2006/relationships/hyperlink" Target="mailto:miguel.arias@gmail.com" TargetMode="External"/><Relationship Id="rId41" Type="http://schemas.openxmlformats.org/officeDocument/2006/relationships/hyperlink" Target="mailto:paula.mendoza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teo.jimenez@gmail.com" TargetMode="External"/><Relationship Id="rId13" Type="http://schemas.openxmlformats.org/officeDocument/2006/relationships/hyperlink" Target="mailto:sofia.rojas@gmail.com%20" TargetMode="External"/><Relationship Id="rId18" Type="http://schemas.openxmlformats.org/officeDocument/2006/relationships/hyperlink" Target="mailto:paula.mendoza@gmail.com" TargetMode="External"/><Relationship Id="rId26" Type="http://schemas.openxmlformats.org/officeDocument/2006/relationships/hyperlink" Target="mailto:gabriela.navarro@gmail.com" TargetMode="External"/><Relationship Id="rId3" Type="http://schemas.openxmlformats.org/officeDocument/2006/relationships/hyperlink" Target="mailto:maria.martinez@gmail.com%20" TargetMode="External"/><Relationship Id="rId21" Type="http://schemas.openxmlformats.org/officeDocument/2006/relationships/hyperlink" Target="mailto:tomas.acosta@gmail.com" TargetMode="External"/><Relationship Id="rId7" Type="http://schemas.openxmlformats.org/officeDocument/2006/relationships/hyperlink" Target="mailto:nicolas.herrera@gmail.com" TargetMode="External"/><Relationship Id="rId12" Type="http://schemas.openxmlformats.org/officeDocument/2006/relationships/hyperlink" Target="mailto:camila.vargas@gmail.com%20" TargetMode="External"/><Relationship Id="rId17" Type="http://schemas.openxmlformats.org/officeDocument/2006/relationships/hyperlink" Target="mailto:esteban.guerrero@gmail.com" TargetMode="External"/><Relationship Id="rId25" Type="http://schemas.openxmlformats.org/officeDocument/2006/relationships/hyperlink" Target="mailto:daniel.sanchez@gmail.com" TargetMode="External"/><Relationship Id="rId2" Type="http://schemas.openxmlformats.org/officeDocument/2006/relationships/hyperlink" Target="mailto:carlos.rodriguez@hotmail.com" TargetMode="External"/><Relationship Id="rId16" Type="http://schemas.openxmlformats.org/officeDocument/2006/relationships/hyperlink" Target="mailto:manuela.pardo@gmail.com" TargetMode="External"/><Relationship Id="rId20" Type="http://schemas.openxmlformats.org/officeDocument/2006/relationships/hyperlink" Target="mailto:ana.salazar@hotmail.com" TargetMode="External"/><Relationship Id="rId29" Type="http://schemas.openxmlformats.org/officeDocument/2006/relationships/hyperlink" Target="mailto:mariana.silva@gmail.com" TargetMode="External"/><Relationship Id="rId1" Type="http://schemas.openxmlformats.org/officeDocument/2006/relationships/hyperlink" Target="mailto:juan.perez@gmail.com%20" TargetMode="External"/><Relationship Id="rId6" Type="http://schemas.openxmlformats.org/officeDocument/2006/relationships/hyperlink" Target="mailto:felipe.moreno@gmail.com%20" TargetMode="External"/><Relationship Id="rId11" Type="http://schemas.openxmlformats.org/officeDocument/2006/relationships/hyperlink" Target="mailto:sebastian.ramirez@gmail.com%20" TargetMode="External"/><Relationship Id="rId24" Type="http://schemas.openxmlformats.org/officeDocument/2006/relationships/hyperlink" Target="mailto:miguel.arias@gmail.com" TargetMode="External"/><Relationship Id="rId5" Type="http://schemas.openxmlformats.org/officeDocument/2006/relationships/hyperlink" Target="mailto:valentina.castro@gmail.com%20" TargetMode="External"/><Relationship Id="rId15" Type="http://schemas.openxmlformats.org/officeDocument/2006/relationships/hyperlink" Target="mailto:jorge.beltran@gmail.com" TargetMode="External"/><Relationship Id="rId23" Type="http://schemas.openxmlformats.org/officeDocument/2006/relationships/hyperlink" Target="mailto:sara.molina@gmail.com" TargetMode="External"/><Relationship Id="rId28" Type="http://schemas.openxmlformats.org/officeDocument/2006/relationships/hyperlink" Target="mailto:david.cardenas@gmail.com" TargetMode="External"/><Relationship Id="rId10" Type="http://schemas.openxmlformats.org/officeDocument/2006/relationships/hyperlink" Target="mailto:andres.lopez@gmail.com%20" TargetMode="External"/><Relationship Id="rId19" Type="http://schemas.openxmlformats.org/officeDocument/2006/relationships/hyperlink" Target="mailto:alejandro.ortiz@gmail.com" TargetMode="External"/><Relationship Id="rId4" Type="http://schemas.openxmlformats.org/officeDocument/2006/relationships/hyperlink" Target="mailto:daniela.torres@gmail.com%20" TargetMode="External"/><Relationship Id="rId9" Type="http://schemas.openxmlformats.org/officeDocument/2006/relationships/hyperlink" Target="mailto:laura.gomez@gmail.com%20" TargetMode="External"/><Relationship Id="rId14" Type="http://schemas.openxmlformats.org/officeDocument/2006/relationships/hyperlink" Target="mailto:isabella.moreno@gmail.com" TargetMode="External"/><Relationship Id="rId22" Type="http://schemas.openxmlformats.org/officeDocument/2006/relationships/hyperlink" Target="mailto:juliana.pena@gmail.com" TargetMode="External"/><Relationship Id="rId27" Type="http://schemas.openxmlformats.org/officeDocument/2006/relationships/hyperlink" Target="mailto:natalia.restrepo@gmail.com%20" TargetMode="External"/><Relationship Id="rId30" Type="http://schemas.openxmlformats.org/officeDocument/2006/relationships/hyperlink" Target="mailto:santiago.dia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785B-CC1E-4E30-8770-6BE0A14BA50B}">
  <dimension ref="A1:M145"/>
  <sheetViews>
    <sheetView topLeftCell="F23" workbookViewId="0">
      <selection activeCell="J35" sqref="J35:K51"/>
    </sheetView>
  </sheetViews>
  <sheetFormatPr baseColWidth="10" defaultRowHeight="15" x14ac:dyDescent="0.25"/>
  <cols>
    <col min="1" max="1" width="17.7109375" bestFit="1" customWidth="1"/>
    <col min="2" max="2" width="13.7109375" bestFit="1" customWidth="1"/>
    <col min="3" max="3" width="19.7109375" bestFit="1" customWidth="1"/>
    <col min="5" max="5" width="28.140625" bestFit="1" customWidth="1"/>
    <col min="7" max="7" width="58" bestFit="1" customWidth="1"/>
    <col min="8" max="8" width="42.42578125" bestFit="1" customWidth="1"/>
    <col min="9" max="9" width="47.140625" bestFit="1" customWidth="1"/>
    <col min="10" max="10" width="23.42578125" bestFit="1" customWidth="1"/>
    <col min="11" max="11" width="35.140625" bestFit="1" customWidth="1"/>
    <col min="12" max="12" width="30" bestFit="1" customWidth="1"/>
    <col min="13" max="13" width="13" bestFit="1" customWidth="1"/>
  </cols>
  <sheetData>
    <row r="1" spans="1:13" x14ac:dyDescent="0.25">
      <c r="A1" s="4" t="s">
        <v>75</v>
      </c>
      <c r="B1" s="4" t="s">
        <v>78</v>
      </c>
      <c r="C1" s="4" t="s">
        <v>0</v>
      </c>
      <c r="D1" s="4" t="s">
        <v>79</v>
      </c>
      <c r="E1" s="4" t="s">
        <v>80</v>
      </c>
      <c r="F1" s="4" t="s">
        <v>1</v>
      </c>
      <c r="G1" s="4" t="s">
        <v>81</v>
      </c>
      <c r="H1" s="4" t="s">
        <v>82</v>
      </c>
      <c r="I1" s="4" t="s">
        <v>307</v>
      </c>
      <c r="J1" s="4" t="s">
        <v>83</v>
      </c>
      <c r="K1" s="4" t="s">
        <v>84</v>
      </c>
      <c r="L1" s="4" t="s">
        <v>308</v>
      </c>
      <c r="M1" s="4" t="s">
        <v>3</v>
      </c>
    </row>
    <row r="2" spans="1:13" x14ac:dyDescent="0.25">
      <c r="A2" s="1" t="s">
        <v>76</v>
      </c>
      <c r="B2" s="1" t="s">
        <v>85</v>
      </c>
      <c r="C2" s="2">
        <v>37330</v>
      </c>
      <c r="D2" s="1">
        <v>3004567891</v>
      </c>
      <c r="E2" s="3" t="s">
        <v>103</v>
      </c>
      <c r="F2" s="1">
        <v>2.1</v>
      </c>
      <c r="G2" s="1" t="s">
        <v>263</v>
      </c>
      <c r="H2" s="1" t="s">
        <v>4</v>
      </c>
      <c r="I2" s="1" t="s">
        <v>294</v>
      </c>
      <c r="J2" s="1" t="s">
        <v>474</v>
      </c>
      <c r="K2" s="24" t="s">
        <v>309</v>
      </c>
      <c r="L2" s="24" t="s">
        <v>310</v>
      </c>
      <c r="M2" s="32">
        <v>68000</v>
      </c>
    </row>
    <row r="3" spans="1:13" x14ac:dyDescent="0.25">
      <c r="A3" s="1" t="s">
        <v>77</v>
      </c>
      <c r="B3" s="1" t="s">
        <v>86</v>
      </c>
      <c r="C3" s="2">
        <v>37094</v>
      </c>
      <c r="D3" s="1">
        <v>3015678902</v>
      </c>
      <c r="E3" s="3" t="s">
        <v>104</v>
      </c>
      <c r="F3" s="1">
        <v>1</v>
      </c>
      <c r="G3" s="1" t="s">
        <v>8</v>
      </c>
      <c r="H3" s="1" t="s">
        <v>9</v>
      </c>
      <c r="I3" s="1" t="s">
        <v>295</v>
      </c>
      <c r="J3" s="1" t="s">
        <v>408</v>
      </c>
      <c r="K3" s="25">
        <v>26000</v>
      </c>
      <c r="L3" s="25">
        <v>2000</v>
      </c>
      <c r="M3" s="32">
        <f>SUM(K3,L3)*F3</f>
        <v>28000</v>
      </c>
    </row>
    <row r="4" spans="1:13" x14ac:dyDescent="0.25">
      <c r="A4" s="1" t="s">
        <v>87</v>
      </c>
      <c r="B4" s="1" t="s">
        <v>88</v>
      </c>
      <c r="C4" s="2">
        <v>37933</v>
      </c>
      <c r="D4" s="1">
        <v>3026789013</v>
      </c>
      <c r="E4" s="3" t="s">
        <v>510</v>
      </c>
      <c r="F4" s="1">
        <v>3</v>
      </c>
      <c r="G4" s="1" t="s">
        <v>11</v>
      </c>
      <c r="H4" s="1" t="s">
        <v>12</v>
      </c>
      <c r="I4" s="1" t="s">
        <v>295</v>
      </c>
      <c r="J4" s="1" t="s">
        <v>409</v>
      </c>
      <c r="K4" s="25">
        <v>20000</v>
      </c>
      <c r="L4" s="25">
        <v>2000</v>
      </c>
      <c r="M4" s="32">
        <f>SUM(K4,L4)*F4</f>
        <v>66000</v>
      </c>
    </row>
    <row r="5" spans="1:13" x14ac:dyDescent="0.25">
      <c r="A5" s="1" t="s">
        <v>89</v>
      </c>
      <c r="B5" s="1" t="s">
        <v>90</v>
      </c>
      <c r="C5" s="2">
        <v>36544</v>
      </c>
      <c r="D5" s="1">
        <v>3037890124</v>
      </c>
      <c r="E5" s="3" t="s">
        <v>105</v>
      </c>
      <c r="F5" s="1">
        <v>1</v>
      </c>
      <c r="G5" s="1" t="s">
        <v>60</v>
      </c>
      <c r="H5" s="1" t="s">
        <v>9</v>
      </c>
      <c r="I5" s="1" t="s">
        <v>273</v>
      </c>
      <c r="J5" s="1" t="s">
        <v>410</v>
      </c>
      <c r="K5" s="25">
        <v>22000</v>
      </c>
      <c r="L5" s="25">
        <v>1500</v>
      </c>
      <c r="M5" s="32">
        <f>SUM(K5,L5)*F5</f>
        <v>23500</v>
      </c>
    </row>
    <row r="6" spans="1:13" x14ac:dyDescent="0.25">
      <c r="A6" s="1" t="s">
        <v>91</v>
      </c>
      <c r="B6" s="1" t="s">
        <v>92</v>
      </c>
      <c r="C6" s="2">
        <v>37406</v>
      </c>
      <c r="D6" s="1">
        <v>3048901235</v>
      </c>
      <c r="E6" s="3" t="s">
        <v>106</v>
      </c>
      <c r="F6" s="1">
        <v>2.1</v>
      </c>
      <c r="G6" s="1" t="s">
        <v>274</v>
      </c>
      <c r="H6" s="1" t="s">
        <v>4</v>
      </c>
      <c r="I6" s="1" t="s">
        <v>296</v>
      </c>
      <c r="J6" s="1" t="s">
        <v>411</v>
      </c>
      <c r="K6" s="24" t="s">
        <v>311</v>
      </c>
      <c r="L6" s="24" t="s">
        <v>312</v>
      </c>
      <c r="M6" s="32">
        <v>70000</v>
      </c>
    </row>
    <row r="7" spans="1:13" x14ac:dyDescent="0.25">
      <c r="A7" s="1" t="s">
        <v>93</v>
      </c>
      <c r="B7" s="1" t="s">
        <v>94</v>
      </c>
      <c r="C7" s="2">
        <v>37146</v>
      </c>
      <c r="D7" s="1">
        <v>3059012346</v>
      </c>
      <c r="E7" s="3" t="s">
        <v>107</v>
      </c>
      <c r="F7" s="1">
        <v>1</v>
      </c>
      <c r="G7" s="1" t="s">
        <v>18</v>
      </c>
      <c r="H7" s="1" t="s">
        <v>9</v>
      </c>
      <c r="I7" s="1" t="s">
        <v>266</v>
      </c>
      <c r="J7" s="1" t="s">
        <v>412</v>
      </c>
      <c r="K7" s="25">
        <v>28000</v>
      </c>
      <c r="L7" s="25">
        <v>2000</v>
      </c>
      <c r="M7" s="32">
        <f>SUM(K7,L7)*F7</f>
        <v>30000</v>
      </c>
    </row>
    <row r="8" spans="1:13" x14ac:dyDescent="0.25">
      <c r="A8" s="1" t="s">
        <v>95</v>
      </c>
      <c r="B8" s="1" t="s">
        <v>96</v>
      </c>
      <c r="C8" s="2">
        <v>37980</v>
      </c>
      <c r="D8" s="1">
        <v>3060123457</v>
      </c>
      <c r="E8" s="3" t="s">
        <v>108</v>
      </c>
      <c r="F8" s="22" t="s">
        <v>276</v>
      </c>
      <c r="G8" s="1" t="s">
        <v>275</v>
      </c>
      <c r="H8" s="1" t="s">
        <v>287</v>
      </c>
      <c r="I8" s="1" t="s">
        <v>297</v>
      </c>
      <c r="J8" s="1" t="s">
        <v>413</v>
      </c>
      <c r="K8" s="24" t="s">
        <v>313</v>
      </c>
      <c r="L8" s="24" t="s">
        <v>314</v>
      </c>
      <c r="M8" s="32">
        <v>120000</v>
      </c>
    </row>
    <row r="9" spans="1:13" x14ac:dyDescent="0.25">
      <c r="A9" s="1" t="s">
        <v>97</v>
      </c>
      <c r="B9" s="1" t="s">
        <v>98</v>
      </c>
      <c r="C9" s="2">
        <v>37290</v>
      </c>
      <c r="D9" s="1">
        <v>3071234568</v>
      </c>
      <c r="E9" s="3" t="s">
        <v>109</v>
      </c>
      <c r="F9" s="1">
        <v>1.1000000000000001</v>
      </c>
      <c r="G9" s="1" t="s">
        <v>277</v>
      </c>
      <c r="H9" s="1" t="s">
        <v>288</v>
      </c>
      <c r="I9" s="1" t="s">
        <v>298</v>
      </c>
      <c r="J9" s="1" t="s">
        <v>414</v>
      </c>
      <c r="K9" s="24" t="s">
        <v>316</v>
      </c>
      <c r="L9" s="24" t="s">
        <v>317</v>
      </c>
      <c r="M9" s="32">
        <v>30500</v>
      </c>
    </row>
    <row r="10" spans="1:13" x14ac:dyDescent="0.25">
      <c r="A10" s="1" t="s">
        <v>99</v>
      </c>
      <c r="B10" s="1" t="s">
        <v>100</v>
      </c>
      <c r="C10" s="2">
        <v>36694</v>
      </c>
      <c r="D10" s="1">
        <v>3082345679</v>
      </c>
      <c r="E10" s="3" t="s">
        <v>110</v>
      </c>
      <c r="F10" s="1">
        <v>3</v>
      </c>
      <c r="G10" s="1" t="s">
        <v>24</v>
      </c>
      <c r="H10" s="1" t="s">
        <v>9</v>
      </c>
      <c r="I10" s="1" t="s">
        <v>265</v>
      </c>
      <c r="J10" s="1" t="s">
        <v>476</v>
      </c>
      <c r="K10" s="25">
        <v>25000</v>
      </c>
      <c r="L10" s="25">
        <v>1000</v>
      </c>
      <c r="M10" s="32">
        <f>SUM(K10,L10)*F10</f>
        <v>78000</v>
      </c>
    </row>
    <row r="11" spans="1:13" x14ac:dyDescent="0.25">
      <c r="A11" s="1" t="s">
        <v>101</v>
      </c>
      <c r="B11" s="1" t="s">
        <v>102</v>
      </c>
      <c r="C11" s="2">
        <v>37922</v>
      </c>
      <c r="D11" s="1">
        <v>3093456780</v>
      </c>
      <c r="E11" s="3" t="s">
        <v>111</v>
      </c>
      <c r="F11" s="1">
        <v>2.1</v>
      </c>
      <c r="G11" s="1" t="s">
        <v>279</v>
      </c>
      <c r="H11" s="1" t="s">
        <v>289</v>
      </c>
      <c r="I11" s="1" t="s">
        <v>299</v>
      </c>
      <c r="J11" s="1" t="s">
        <v>415</v>
      </c>
      <c r="K11" s="25" t="s">
        <v>315</v>
      </c>
      <c r="L11" s="24" t="s">
        <v>317</v>
      </c>
      <c r="M11" s="32">
        <v>49000</v>
      </c>
    </row>
    <row r="12" spans="1:13" x14ac:dyDescent="0.25">
      <c r="A12" s="1" t="s">
        <v>112</v>
      </c>
      <c r="B12" s="1" t="s">
        <v>113</v>
      </c>
      <c r="C12" s="2">
        <v>36992</v>
      </c>
      <c r="D12" s="1">
        <v>3104567891</v>
      </c>
      <c r="E12" s="3" t="s">
        <v>30</v>
      </c>
      <c r="F12" s="1">
        <v>1</v>
      </c>
      <c r="G12" s="1" t="s">
        <v>114</v>
      </c>
      <c r="H12" s="1" t="s">
        <v>31</v>
      </c>
      <c r="I12" s="1" t="s">
        <v>20</v>
      </c>
      <c r="J12" s="1" t="s">
        <v>416</v>
      </c>
      <c r="K12" s="25">
        <v>15000</v>
      </c>
      <c r="L12" s="25">
        <v>1500</v>
      </c>
      <c r="M12" s="32">
        <f>SUM(K12,L12)*F12</f>
        <v>16500</v>
      </c>
    </row>
    <row r="13" spans="1:13" x14ac:dyDescent="0.25">
      <c r="A13" s="1" t="s">
        <v>115</v>
      </c>
      <c r="B13" s="1" t="s">
        <v>116</v>
      </c>
      <c r="C13" s="2">
        <v>37474</v>
      </c>
      <c r="D13" s="1">
        <v>3115678902</v>
      </c>
      <c r="E13" s="3" t="s">
        <v>151</v>
      </c>
      <c r="F13" s="1">
        <v>2.2999999999999998</v>
      </c>
      <c r="G13" s="1" t="s">
        <v>280</v>
      </c>
      <c r="H13" s="1" t="s">
        <v>290</v>
      </c>
      <c r="I13" s="1" t="s">
        <v>300</v>
      </c>
      <c r="J13" s="1" t="s">
        <v>417</v>
      </c>
      <c r="K13" s="24" t="s">
        <v>318</v>
      </c>
      <c r="L13" s="24" t="s">
        <v>319</v>
      </c>
      <c r="M13" s="32">
        <v>99000</v>
      </c>
    </row>
    <row r="14" spans="1:13" x14ac:dyDescent="0.25">
      <c r="A14" s="1" t="s">
        <v>117</v>
      </c>
      <c r="B14" s="1" t="s">
        <v>118</v>
      </c>
      <c r="C14" s="2">
        <v>38009</v>
      </c>
      <c r="D14" s="1">
        <v>3126789013</v>
      </c>
      <c r="E14" s="3" t="s">
        <v>34</v>
      </c>
      <c r="F14" s="1">
        <v>1</v>
      </c>
      <c r="G14" s="1" t="s">
        <v>119</v>
      </c>
      <c r="H14" s="1" t="s">
        <v>12</v>
      </c>
      <c r="I14" s="1" t="s">
        <v>14</v>
      </c>
      <c r="J14" s="1" t="s">
        <v>418</v>
      </c>
      <c r="K14" s="25">
        <v>25000</v>
      </c>
      <c r="L14" s="25">
        <v>1500</v>
      </c>
      <c r="M14" s="32">
        <f>SUM(K14,L14)*F14</f>
        <v>26500</v>
      </c>
    </row>
    <row r="15" spans="1:13" x14ac:dyDescent="0.25">
      <c r="A15" s="1" t="s">
        <v>120</v>
      </c>
      <c r="B15" s="1" t="s">
        <v>121</v>
      </c>
      <c r="C15" s="2">
        <v>37025</v>
      </c>
      <c r="D15" s="1">
        <v>3137890124</v>
      </c>
      <c r="E15" s="3" t="s">
        <v>36</v>
      </c>
      <c r="F15" s="1">
        <v>3.4</v>
      </c>
      <c r="G15" s="1" t="s">
        <v>281</v>
      </c>
      <c r="H15" s="1" t="s">
        <v>291</v>
      </c>
      <c r="I15" s="1" t="s">
        <v>296</v>
      </c>
      <c r="J15" s="1" t="s">
        <v>419</v>
      </c>
      <c r="K15" s="24" t="s">
        <v>320</v>
      </c>
      <c r="L15" s="24" t="s">
        <v>312</v>
      </c>
      <c r="M15" s="32">
        <v>173500</v>
      </c>
    </row>
    <row r="16" spans="1:13" x14ac:dyDescent="0.25">
      <c r="A16" s="1" t="s">
        <v>122</v>
      </c>
      <c r="B16" s="1" t="s">
        <v>123</v>
      </c>
      <c r="C16" s="2">
        <v>37903</v>
      </c>
      <c r="D16" s="1">
        <v>3148901235</v>
      </c>
      <c r="E16" s="3" t="s">
        <v>38</v>
      </c>
      <c r="F16" s="1">
        <v>2</v>
      </c>
      <c r="G16" s="1" t="s">
        <v>39</v>
      </c>
      <c r="H16" s="1" t="s">
        <v>12</v>
      </c>
      <c r="I16" s="1" t="s">
        <v>20</v>
      </c>
      <c r="J16" s="1" t="s">
        <v>420</v>
      </c>
      <c r="K16" s="25">
        <v>14000</v>
      </c>
      <c r="L16" s="25">
        <v>1500</v>
      </c>
      <c r="M16" s="32">
        <f>SUM(K16,L16)*F16</f>
        <v>31000</v>
      </c>
    </row>
    <row r="17" spans="1:13" x14ac:dyDescent="0.25">
      <c r="A17" s="1" t="s">
        <v>124</v>
      </c>
      <c r="B17" s="1" t="s">
        <v>470</v>
      </c>
      <c r="C17" s="2">
        <v>36583</v>
      </c>
      <c r="D17" s="1">
        <v>3159012346</v>
      </c>
      <c r="E17" s="3" t="s">
        <v>41</v>
      </c>
      <c r="F17" s="1">
        <v>1</v>
      </c>
      <c r="G17" s="1" t="s">
        <v>42</v>
      </c>
      <c r="H17" s="1" t="s">
        <v>9</v>
      </c>
      <c r="I17" s="1" t="s">
        <v>16</v>
      </c>
      <c r="J17" s="1" t="s">
        <v>421</v>
      </c>
      <c r="K17" s="25">
        <v>18000</v>
      </c>
      <c r="L17" s="25">
        <v>1500</v>
      </c>
      <c r="M17" s="32">
        <f>SUM(K17,L17)*F17</f>
        <v>19500</v>
      </c>
    </row>
    <row r="18" spans="1:13" x14ac:dyDescent="0.25">
      <c r="A18" s="1" t="s">
        <v>125</v>
      </c>
      <c r="B18" s="1" t="s">
        <v>126</v>
      </c>
      <c r="C18" s="2">
        <v>37608</v>
      </c>
      <c r="D18" s="1">
        <v>3160123457</v>
      </c>
      <c r="E18" s="3" t="s">
        <v>44</v>
      </c>
      <c r="F18" s="1">
        <v>2</v>
      </c>
      <c r="G18" s="1" t="s">
        <v>45</v>
      </c>
      <c r="H18" s="1" t="s">
        <v>12</v>
      </c>
      <c r="I18" s="1" t="s">
        <v>28</v>
      </c>
      <c r="J18" s="1" t="s">
        <v>422</v>
      </c>
      <c r="K18" s="25">
        <v>16000</v>
      </c>
      <c r="L18" s="25">
        <v>1500</v>
      </c>
      <c r="M18" s="32">
        <f>SUM(K18,L18)*F18</f>
        <v>35000</v>
      </c>
    </row>
    <row r="19" spans="1:13" x14ac:dyDescent="0.25">
      <c r="A19" s="1" t="s">
        <v>127</v>
      </c>
      <c r="B19" s="1" t="s">
        <v>128</v>
      </c>
      <c r="C19" s="2">
        <v>37047</v>
      </c>
      <c r="D19" s="1">
        <v>3171234568</v>
      </c>
      <c r="E19" s="3" t="s">
        <v>278</v>
      </c>
      <c r="F19" s="1">
        <v>1.2</v>
      </c>
      <c r="G19" s="1" t="s">
        <v>301</v>
      </c>
      <c r="H19" s="1" t="s">
        <v>292</v>
      </c>
      <c r="I19" s="1" t="s">
        <v>302</v>
      </c>
      <c r="J19" s="1" t="s">
        <v>423</v>
      </c>
      <c r="K19" s="24" t="s">
        <v>321</v>
      </c>
      <c r="L19" s="24" t="s">
        <v>322</v>
      </c>
      <c r="M19" s="32">
        <v>52000</v>
      </c>
    </row>
    <row r="20" spans="1:13" x14ac:dyDescent="0.25">
      <c r="A20" s="1" t="s">
        <v>129</v>
      </c>
      <c r="B20" s="1" t="s">
        <v>130</v>
      </c>
      <c r="C20" s="2">
        <v>37885</v>
      </c>
      <c r="D20" s="1">
        <v>3182345679</v>
      </c>
      <c r="E20" s="3" t="s">
        <v>48</v>
      </c>
      <c r="F20" s="1">
        <v>2</v>
      </c>
      <c r="G20" s="1" t="s">
        <v>49</v>
      </c>
      <c r="H20" s="1" t="s">
        <v>9</v>
      </c>
      <c r="I20" s="23" t="s">
        <v>265</v>
      </c>
      <c r="J20" s="1" t="s">
        <v>424</v>
      </c>
      <c r="K20" s="25">
        <v>23000</v>
      </c>
      <c r="L20" s="25">
        <v>1000</v>
      </c>
      <c r="M20" s="32">
        <f>SUM(K20,L20)*F20</f>
        <v>48000</v>
      </c>
    </row>
    <row r="21" spans="1:13" x14ac:dyDescent="0.25">
      <c r="A21" s="1" t="s">
        <v>131</v>
      </c>
      <c r="B21" s="1" t="s">
        <v>132</v>
      </c>
      <c r="C21" s="2">
        <v>37331</v>
      </c>
      <c r="D21" s="1">
        <v>3193456780</v>
      </c>
      <c r="E21" s="3" t="s">
        <v>51</v>
      </c>
      <c r="F21" s="1">
        <v>1</v>
      </c>
      <c r="G21" s="1" t="s">
        <v>52</v>
      </c>
      <c r="H21" s="1" t="s">
        <v>12</v>
      </c>
      <c r="I21" s="1" t="s">
        <v>266</v>
      </c>
      <c r="J21" s="1" t="s">
        <v>425</v>
      </c>
      <c r="K21" s="25">
        <v>14000</v>
      </c>
      <c r="L21" s="25">
        <v>2000</v>
      </c>
      <c r="M21" s="32">
        <f>SUM(K21,L21)*F21</f>
        <v>16000</v>
      </c>
    </row>
    <row r="22" spans="1:13" x14ac:dyDescent="0.25">
      <c r="A22" s="1" t="s">
        <v>133</v>
      </c>
      <c r="B22" s="1" t="s">
        <v>134</v>
      </c>
      <c r="C22" s="2">
        <v>36736</v>
      </c>
      <c r="D22" s="1">
        <v>3005678901</v>
      </c>
      <c r="E22" s="3" t="s">
        <v>54</v>
      </c>
      <c r="F22" s="1">
        <v>3</v>
      </c>
      <c r="G22" s="1" t="s">
        <v>55</v>
      </c>
      <c r="H22" s="1" t="s">
        <v>9</v>
      </c>
      <c r="I22" s="1" t="s">
        <v>303</v>
      </c>
      <c r="J22" s="1" t="s">
        <v>426</v>
      </c>
      <c r="K22" s="25">
        <v>23000</v>
      </c>
      <c r="L22" s="25">
        <v>1500</v>
      </c>
      <c r="M22" s="32">
        <f>SUM(K22,L22)*F22</f>
        <v>73500</v>
      </c>
    </row>
    <row r="23" spans="1:13" x14ac:dyDescent="0.25">
      <c r="A23" s="1" t="s">
        <v>135</v>
      </c>
      <c r="B23" s="1" t="s">
        <v>136</v>
      </c>
      <c r="C23" s="2">
        <v>37205</v>
      </c>
      <c r="D23" s="1">
        <v>3016789012</v>
      </c>
      <c r="E23" s="3" t="s">
        <v>57</v>
      </c>
      <c r="F23" s="22" t="s">
        <v>282</v>
      </c>
      <c r="G23" s="1" t="s">
        <v>283</v>
      </c>
      <c r="H23" s="1" t="s">
        <v>293</v>
      </c>
      <c r="I23" s="1" t="s">
        <v>304</v>
      </c>
      <c r="J23" s="1" t="s">
        <v>427</v>
      </c>
      <c r="K23" s="24" t="s">
        <v>323</v>
      </c>
      <c r="L23" s="24" t="s">
        <v>324</v>
      </c>
      <c r="M23" s="32">
        <v>311000</v>
      </c>
    </row>
    <row r="24" spans="1:13" x14ac:dyDescent="0.25">
      <c r="A24" s="1" t="s">
        <v>137</v>
      </c>
      <c r="B24" s="1" t="s">
        <v>138</v>
      </c>
      <c r="C24" s="2">
        <v>37735</v>
      </c>
      <c r="D24" s="1">
        <v>3027890123</v>
      </c>
      <c r="E24" s="3" t="s">
        <v>59</v>
      </c>
      <c r="F24" s="1">
        <v>1</v>
      </c>
      <c r="G24" s="1" t="s">
        <v>60</v>
      </c>
      <c r="H24" s="1" t="s">
        <v>12</v>
      </c>
      <c r="I24" s="1" t="s">
        <v>273</v>
      </c>
      <c r="J24" s="1" t="s">
        <v>428</v>
      </c>
      <c r="K24" s="25">
        <v>16000</v>
      </c>
      <c r="L24" s="25">
        <v>1500</v>
      </c>
      <c r="M24" s="32">
        <f>SUM(K24,L24)*F24</f>
        <v>17500</v>
      </c>
    </row>
    <row r="25" spans="1:13" x14ac:dyDescent="0.25">
      <c r="A25" s="1" t="s">
        <v>139</v>
      </c>
      <c r="B25" s="1" t="s">
        <v>140</v>
      </c>
      <c r="C25" s="2">
        <v>37263</v>
      </c>
      <c r="D25" s="1">
        <v>3038901234</v>
      </c>
      <c r="E25" s="3" t="s">
        <v>62</v>
      </c>
      <c r="F25" s="1">
        <v>2</v>
      </c>
      <c r="G25" s="1" t="s">
        <v>18</v>
      </c>
      <c r="H25" s="1" t="s">
        <v>9</v>
      </c>
      <c r="I25" s="1" t="s">
        <v>20</v>
      </c>
      <c r="J25" s="1" t="s">
        <v>429</v>
      </c>
      <c r="K25" s="25">
        <v>28000</v>
      </c>
      <c r="L25" s="25">
        <v>1500</v>
      </c>
      <c r="M25" s="32">
        <f>SUM(K25,L25)*F25</f>
        <v>59000</v>
      </c>
    </row>
    <row r="26" spans="1:13" x14ac:dyDescent="0.25">
      <c r="A26" s="1" t="s">
        <v>141</v>
      </c>
      <c r="B26" s="1" t="s">
        <v>469</v>
      </c>
      <c r="C26" s="2">
        <v>36751</v>
      </c>
      <c r="D26" s="1">
        <v>3049012345</v>
      </c>
      <c r="E26" s="3" t="s">
        <v>64</v>
      </c>
      <c r="F26" s="1">
        <v>1.3</v>
      </c>
      <c r="G26" s="1" t="s">
        <v>284</v>
      </c>
      <c r="H26" s="1" t="s">
        <v>288</v>
      </c>
      <c r="I26" s="1" t="s">
        <v>305</v>
      </c>
      <c r="J26" s="1" t="s">
        <v>430</v>
      </c>
      <c r="K26" s="24" t="s">
        <v>325</v>
      </c>
      <c r="L26" s="24" t="s">
        <v>326</v>
      </c>
      <c r="M26" s="32">
        <v>88000</v>
      </c>
    </row>
    <row r="27" spans="1:13" x14ac:dyDescent="0.25">
      <c r="A27" s="1" t="s">
        <v>142</v>
      </c>
      <c r="B27" s="1" t="s">
        <v>143</v>
      </c>
      <c r="C27" s="2">
        <v>37767</v>
      </c>
      <c r="D27" s="1">
        <v>3050123456</v>
      </c>
      <c r="E27" s="3" t="s">
        <v>66</v>
      </c>
      <c r="F27" s="1">
        <v>3</v>
      </c>
      <c r="G27" s="1" t="s">
        <v>27</v>
      </c>
      <c r="H27" s="1" t="s">
        <v>9</v>
      </c>
      <c r="I27" s="1" t="s">
        <v>273</v>
      </c>
      <c r="J27" s="1" t="s">
        <v>431</v>
      </c>
      <c r="K27" s="25">
        <v>17000</v>
      </c>
      <c r="L27" s="25">
        <v>1500</v>
      </c>
      <c r="M27" s="32">
        <f>SUM(K27,L27)*F27</f>
        <v>55500</v>
      </c>
    </row>
    <row r="28" spans="1:13" x14ac:dyDescent="0.25">
      <c r="A28" s="1" t="s">
        <v>144</v>
      </c>
      <c r="B28" s="1" t="s">
        <v>145</v>
      </c>
      <c r="C28" s="2">
        <v>37227</v>
      </c>
      <c r="D28" s="1">
        <v>3061234567</v>
      </c>
      <c r="E28" s="3" t="s">
        <v>68</v>
      </c>
      <c r="F28" s="1">
        <v>2</v>
      </c>
      <c r="G28" s="1" t="s">
        <v>119</v>
      </c>
      <c r="H28" s="1" t="s">
        <v>9</v>
      </c>
      <c r="I28" s="1" t="s">
        <v>5</v>
      </c>
      <c r="J28" s="1" t="s">
        <v>432</v>
      </c>
      <c r="K28" s="25">
        <v>30000</v>
      </c>
      <c r="L28" s="25">
        <v>2500</v>
      </c>
      <c r="M28" s="32">
        <f>SUM(K28,L28)*F28</f>
        <v>65000</v>
      </c>
    </row>
    <row r="29" spans="1:13" x14ac:dyDescent="0.25">
      <c r="A29" s="1" t="s">
        <v>146</v>
      </c>
      <c r="B29" s="1" t="s">
        <v>147</v>
      </c>
      <c r="C29" s="2">
        <v>38158</v>
      </c>
      <c r="D29" s="1">
        <v>3072345678</v>
      </c>
      <c r="E29" s="3" t="s">
        <v>70</v>
      </c>
      <c r="F29" s="1">
        <v>1.1000000000000001</v>
      </c>
      <c r="G29" s="1" t="s">
        <v>285</v>
      </c>
      <c r="H29" s="1" t="s">
        <v>289</v>
      </c>
      <c r="I29" s="1" t="s">
        <v>294</v>
      </c>
      <c r="J29" s="1" t="s">
        <v>475</v>
      </c>
      <c r="K29" s="24" t="s">
        <v>321</v>
      </c>
      <c r="L29" s="24" t="s">
        <v>310</v>
      </c>
      <c r="M29" s="32">
        <v>35500</v>
      </c>
    </row>
    <row r="30" spans="1:13" x14ac:dyDescent="0.25">
      <c r="A30" s="1" t="s">
        <v>148</v>
      </c>
      <c r="B30" s="1" t="s">
        <v>149</v>
      </c>
      <c r="C30" s="2">
        <v>37560</v>
      </c>
      <c r="D30" s="1">
        <v>3083456789</v>
      </c>
      <c r="E30" s="3" t="s">
        <v>72</v>
      </c>
      <c r="F30" s="1">
        <v>2.1</v>
      </c>
      <c r="G30" s="1" t="s">
        <v>286</v>
      </c>
      <c r="H30" s="1" t="s">
        <v>291</v>
      </c>
      <c r="I30" s="1" t="s">
        <v>306</v>
      </c>
      <c r="J30" s="1" t="s">
        <v>433</v>
      </c>
      <c r="K30" s="24" t="s">
        <v>327</v>
      </c>
      <c r="L30" s="24" t="s">
        <v>326</v>
      </c>
      <c r="M30" s="32">
        <v>58000</v>
      </c>
    </row>
    <row r="31" spans="1:13" x14ac:dyDescent="0.25">
      <c r="A31" s="1" t="s">
        <v>150</v>
      </c>
      <c r="B31" s="1" t="s">
        <v>468</v>
      </c>
      <c r="C31" s="2">
        <v>36931</v>
      </c>
      <c r="D31" s="1">
        <v>3094567890</v>
      </c>
      <c r="E31" s="3" t="s">
        <v>511</v>
      </c>
      <c r="F31" s="1">
        <v>1</v>
      </c>
      <c r="G31" s="1" t="s">
        <v>11</v>
      </c>
      <c r="H31" s="1" t="s">
        <v>9</v>
      </c>
      <c r="I31" s="1" t="s">
        <v>266</v>
      </c>
      <c r="J31" s="1" t="s">
        <v>434</v>
      </c>
      <c r="K31" s="25">
        <v>25000</v>
      </c>
      <c r="L31" s="25">
        <v>2000</v>
      </c>
      <c r="M31" s="32">
        <f>SUM(K31,L31)*F31</f>
        <v>27000</v>
      </c>
    </row>
    <row r="35" spans="7:11" x14ac:dyDescent="0.25">
      <c r="G35" s="7" t="s">
        <v>152</v>
      </c>
      <c r="H35" s="8">
        <v>18000</v>
      </c>
      <c r="J35" s="18" t="s">
        <v>264</v>
      </c>
    </row>
    <row r="36" spans="7:11" x14ac:dyDescent="0.25">
      <c r="G36" s="7" t="s">
        <v>153</v>
      </c>
      <c r="H36" s="8">
        <v>20000</v>
      </c>
      <c r="J36" s="19" t="s">
        <v>5</v>
      </c>
      <c r="K36" s="20">
        <v>2500</v>
      </c>
    </row>
    <row r="37" spans="7:11" x14ac:dyDescent="0.25">
      <c r="G37" s="7" t="s">
        <v>154</v>
      </c>
      <c r="H37" s="8">
        <v>23000</v>
      </c>
      <c r="J37" s="19" t="s">
        <v>265</v>
      </c>
      <c r="K37" s="20">
        <v>1000</v>
      </c>
    </row>
    <row r="38" spans="7:11" x14ac:dyDescent="0.25">
      <c r="G38" s="9" t="s">
        <v>155</v>
      </c>
      <c r="H38" s="10">
        <v>20000</v>
      </c>
      <c r="J38" s="19" t="s">
        <v>266</v>
      </c>
      <c r="K38" s="20">
        <v>2000</v>
      </c>
    </row>
    <row r="39" spans="7:11" x14ac:dyDescent="0.25">
      <c r="G39" s="9" t="s">
        <v>156</v>
      </c>
      <c r="H39" s="10">
        <v>23000</v>
      </c>
      <c r="J39" s="19" t="s">
        <v>267</v>
      </c>
      <c r="K39" s="20">
        <v>1500</v>
      </c>
    </row>
    <row r="40" spans="7:11" x14ac:dyDescent="0.25">
      <c r="G40" s="9" t="s">
        <v>157</v>
      </c>
      <c r="H40" s="10">
        <v>26000</v>
      </c>
      <c r="J40" s="19" t="s">
        <v>14</v>
      </c>
      <c r="K40" s="20">
        <v>2000</v>
      </c>
    </row>
    <row r="41" spans="7:11" x14ac:dyDescent="0.25">
      <c r="G41" s="11" t="s">
        <v>158</v>
      </c>
      <c r="H41" s="12">
        <v>15000</v>
      </c>
      <c r="J41" s="19" t="s">
        <v>16</v>
      </c>
      <c r="K41" s="20">
        <v>1500</v>
      </c>
    </row>
    <row r="42" spans="7:11" x14ac:dyDescent="0.25">
      <c r="G42" s="11" t="s">
        <v>159</v>
      </c>
      <c r="H42" s="12">
        <v>20000</v>
      </c>
      <c r="J42" s="19" t="s">
        <v>268</v>
      </c>
      <c r="K42" s="20">
        <v>1000</v>
      </c>
    </row>
    <row r="43" spans="7:11" x14ac:dyDescent="0.25">
      <c r="G43" s="11" t="s">
        <v>160</v>
      </c>
      <c r="H43" s="12">
        <v>25000</v>
      </c>
      <c r="J43" s="19" t="s">
        <v>22</v>
      </c>
      <c r="K43" s="20">
        <v>2000</v>
      </c>
    </row>
    <row r="44" spans="7:11" x14ac:dyDescent="0.25">
      <c r="G44" s="13" t="s">
        <v>162</v>
      </c>
      <c r="H44" s="14">
        <v>10000</v>
      </c>
      <c r="J44" s="19" t="s">
        <v>269</v>
      </c>
      <c r="K44" s="20">
        <v>1500</v>
      </c>
    </row>
    <row r="45" spans="7:11" x14ac:dyDescent="0.25">
      <c r="G45" s="13" t="s">
        <v>163</v>
      </c>
      <c r="H45" s="14">
        <v>16000</v>
      </c>
      <c r="J45" s="21" t="s">
        <v>25</v>
      </c>
      <c r="K45" s="20">
        <v>2000</v>
      </c>
    </row>
    <row r="46" spans="7:11" x14ac:dyDescent="0.25">
      <c r="G46" s="13" t="s">
        <v>161</v>
      </c>
      <c r="H46" s="14">
        <v>22000</v>
      </c>
      <c r="J46" s="21" t="s">
        <v>270</v>
      </c>
      <c r="K46" s="20">
        <v>2000</v>
      </c>
    </row>
    <row r="47" spans="7:11" x14ac:dyDescent="0.25">
      <c r="G47" s="5" t="s">
        <v>164</v>
      </c>
      <c r="H47" s="17">
        <v>10000</v>
      </c>
      <c r="J47" s="21" t="s">
        <v>20</v>
      </c>
      <c r="K47" s="20">
        <v>1500</v>
      </c>
    </row>
    <row r="48" spans="7:11" x14ac:dyDescent="0.25">
      <c r="G48" s="5" t="s">
        <v>165</v>
      </c>
      <c r="H48" s="17">
        <v>16000</v>
      </c>
      <c r="J48" s="21" t="s">
        <v>28</v>
      </c>
      <c r="K48" s="20">
        <v>1500</v>
      </c>
    </row>
    <row r="49" spans="7:11" x14ac:dyDescent="0.25">
      <c r="G49" s="5" t="s">
        <v>166</v>
      </c>
      <c r="H49" s="17">
        <v>22000</v>
      </c>
      <c r="J49" s="21" t="s">
        <v>271</v>
      </c>
      <c r="K49" s="20">
        <v>1500</v>
      </c>
    </row>
    <row r="50" spans="7:11" x14ac:dyDescent="0.25">
      <c r="G50" s="7" t="s">
        <v>167</v>
      </c>
      <c r="H50" s="8">
        <v>10000</v>
      </c>
      <c r="J50" s="21" t="s">
        <v>272</v>
      </c>
      <c r="K50" s="20">
        <v>1000</v>
      </c>
    </row>
    <row r="51" spans="7:11" x14ac:dyDescent="0.25">
      <c r="G51" s="7" t="s">
        <v>168</v>
      </c>
      <c r="H51" s="8">
        <v>16000</v>
      </c>
      <c r="J51" s="21" t="s">
        <v>273</v>
      </c>
      <c r="K51" s="20">
        <v>1500</v>
      </c>
    </row>
    <row r="52" spans="7:11" x14ac:dyDescent="0.25">
      <c r="G52" s="7" t="s">
        <v>169</v>
      </c>
      <c r="H52" s="8">
        <v>22000</v>
      </c>
    </row>
    <row r="53" spans="7:11" x14ac:dyDescent="0.25">
      <c r="G53" s="9" t="s">
        <v>170</v>
      </c>
      <c r="H53" s="10">
        <v>15000</v>
      </c>
    </row>
    <row r="54" spans="7:11" x14ac:dyDescent="0.25">
      <c r="G54" s="9" t="s">
        <v>171</v>
      </c>
      <c r="H54" s="10">
        <v>17000</v>
      </c>
    </row>
    <row r="55" spans="7:11" x14ac:dyDescent="0.25">
      <c r="G55" s="9" t="s">
        <v>172</v>
      </c>
      <c r="H55" s="10">
        <v>19000</v>
      </c>
    </row>
    <row r="56" spans="7:11" x14ac:dyDescent="0.25">
      <c r="G56" s="11" t="s">
        <v>173</v>
      </c>
      <c r="H56" s="12">
        <v>15000</v>
      </c>
    </row>
    <row r="57" spans="7:11" x14ac:dyDescent="0.25">
      <c r="G57" s="11" t="s">
        <v>175</v>
      </c>
      <c r="H57" s="12">
        <v>17000</v>
      </c>
    </row>
    <row r="58" spans="7:11" x14ac:dyDescent="0.25">
      <c r="G58" s="11" t="s">
        <v>174</v>
      </c>
      <c r="H58" s="12">
        <v>19000</v>
      </c>
    </row>
    <row r="59" spans="7:11" x14ac:dyDescent="0.25">
      <c r="G59" s="13" t="s">
        <v>176</v>
      </c>
      <c r="H59" s="14">
        <v>15000</v>
      </c>
    </row>
    <row r="60" spans="7:11" x14ac:dyDescent="0.25">
      <c r="G60" s="13" t="s">
        <v>177</v>
      </c>
      <c r="H60" s="14">
        <v>17000</v>
      </c>
    </row>
    <row r="61" spans="7:11" x14ac:dyDescent="0.25">
      <c r="G61" s="13" t="s">
        <v>178</v>
      </c>
      <c r="H61" s="14">
        <v>19000</v>
      </c>
    </row>
    <row r="62" spans="7:11" x14ac:dyDescent="0.25">
      <c r="G62" s="5" t="s">
        <v>179</v>
      </c>
      <c r="H62" s="17">
        <v>20000</v>
      </c>
    </row>
    <row r="63" spans="7:11" x14ac:dyDescent="0.25">
      <c r="G63" s="5" t="s">
        <v>180</v>
      </c>
      <c r="H63" s="17">
        <v>23000</v>
      </c>
    </row>
    <row r="64" spans="7:11" x14ac:dyDescent="0.25">
      <c r="G64" s="5" t="s">
        <v>181</v>
      </c>
      <c r="H64" s="17">
        <v>25000</v>
      </c>
    </row>
    <row r="65" spans="7:8" x14ac:dyDescent="0.25">
      <c r="G65" s="15" t="s">
        <v>184</v>
      </c>
      <c r="H65" s="16">
        <v>20000</v>
      </c>
    </row>
    <row r="66" spans="7:8" x14ac:dyDescent="0.25">
      <c r="G66" s="15" t="s">
        <v>183</v>
      </c>
      <c r="H66" s="16">
        <v>24000</v>
      </c>
    </row>
    <row r="67" spans="7:8" x14ac:dyDescent="0.25">
      <c r="G67" s="15" t="s">
        <v>182</v>
      </c>
      <c r="H67" s="16">
        <v>28000</v>
      </c>
    </row>
    <row r="68" spans="7:8" x14ac:dyDescent="0.25">
      <c r="G68" s="9" t="s">
        <v>185</v>
      </c>
      <c r="H68" s="10">
        <v>14000</v>
      </c>
    </row>
    <row r="69" spans="7:8" x14ac:dyDescent="0.25">
      <c r="G69" s="9" t="s">
        <v>186</v>
      </c>
      <c r="H69" s="10">
        <v>16000</v>
      </c>
    </row>
    <row r="70" spans="7:8" x14ac:dyDescent="0.25">
      <c r="G70" s="9" t="s">
        <v>187</v>
      </c>
      <c r="H70" s="10">
        <v>18000</v>
      </c>
    </row>
    <row r="71" spans="7:8" x14ac:dyDescent="0.25">
      <c r="G71" s="11" t="s">
        <v>188</v>
      </c>
      <c r="H71" s="12">
        <v>13000</v>
      </c>
    </row>
    <row r="72" spans="7:8" x14ac:dyDescent="0.25">
      <c r="G72" s="11" t="s">
        <v>189</v>
      </c>
      <c r="H72" s="12">
        <v>15000</v>
      </c>
    </row>
    <row r="73" spans="7:8" x14ac:dyDescent="0.25">
      <c r="G73" s="11" t="s">
        <v>190</v>
      </c>
      <c r="H73" s="12">
        <v>17000</v>
      </c>
    </row>
    <row r="74" spans="7:8" x14ac:dyDescent="0.25">
      <c r="G74" s="13" t="s">
        <v>191</v>
      </c>
      <c r="H74" s="14">
        <v>13000</v>
      </c>
    </row>
    <row r="75" spans="7:8" x14ac:dyDescent="0.25">
      <c r="G75" s="13" t="s">
        <v>192</v>
      </c>
      <c r="H75" s="14">
        <v>15000</v>
      </c>
    </row>
    <row r="76" spans="7:8" x14ac:dyDescent="0.25">
      <c r="G76" s="13" t="s">
        <v>193</v>
      </c>
      <c r="H76" s="14">
        <v>17000</v>
      </c>
    </row>
    <row r="77" spans="7:8" x14ac:dyDescent="0.25">
      <c r="G77" s="5" t="s">
        <v>194</v>
      </c>
      <c r="H77" s="17">
        <v>15000</v>
      </c>
    </row>
    <row r="78" spans="7:8" x14ac:dyDescent="0.25">
      <c r="G78" s="5" t="s">
        <v>195</v>
      </c>
      <c r="H78" s="17">
        <v>17000</v>
      </c>
    </row>
    <row r="79" spans="7:8" x14ac:dyDescent="0.25">
      <c r="G79" s="5" t="s">
        <v>196</v>
      </c>
      <c r="H79" s="17">
        <v>19000</v>
      </c>
    </row>
    <row r="80" spans="7:8" x14ac:dyDescent="0.25">
      <c r="G80" s="15" t="s">
        <v>197</v>
      </c>
      <c r="H80" s="16">
        <v>13000</v>
      </c>
    </row>
    <row r="81" spans="7:8" x14ac:dyDescent="0.25">
      <c r="G81" s="15" t="s">
        <v>198</v>
      </c>
      <c r="H81" s="16">
        <v>15000</v>
      </c>
    </row>
    <row r="82" spans="7:8" x14ac:dyDescent="0.25">
      <c r="G82" s="15" t="s">
        <v>199</v>
      </c>
      <c r="H82" s="16">
        <v>17000</v>
      </c>
    </row>
    <row r="83" spans="7:8" x14ac:dyDescent="0.25">
      <c r="G83" s="9" t="s">
        <v>200</v>
      </c>
      <c r="H83" s="10">
        <v>20000</v>
      </c>
    </row>
    <row r="84" spans="7:8" x14ac:dyDescent="0.25">
      <c r="G84" s="9" t="s">
        <v>201</v>
      </c>
      <c r="H84" s="10">
        <v>25000</v>
      </c>
    </row>
    <row r="85" spans="7:8" x14ac:dyDescent="0.25">
      <c r="G85" s="9" t="s">
        <v>202</v>
      </c>
      <c r="H85" s="10">
        <v>30000</v>
      </c>
    </row>
    <row r="86" spans="7:8" x14ac:dyDescent="0.25">
      <c r="G86" s="11" t="s">
        <v>203</v>
      </c>
      <c r="H86" s="12">
        <v>15000</v>
      </c>
    </row>
    <row r="87" spans="7:8" x14ac:dyDescent="0.25">
      <c r="G87" s="11" t="s">
        <v>204</v>
      </c>
      <c r="H87" s="12">
        <v>17000</v>
      </c>
    </row>
    <row r="88" spans="7:8" x14ac:dyDescent="0.25">
      <c r="G88" s="11" t="s">
        <v>205</v>
      </c>
      <c r="H88" s="12">
        <v>19000</v>
      </c>
    </row>
    <row r="89" spans="7:8" x14ac:dyDescent="0.25">
      <c r="G89" s="13" t="s">
        <v>206</v>
      </c>
      <c r="H89" s="14">
        <v>15000</v>
      </c>
    </row>
    <row r="90" spans="7:8" x14ac:dyDescent="0.25">
      <c r="G90" s="13" t="s">
        <v>207</v>
      </c>
      <c r="H90" s="14">
        <v>17000</v>
      </c>
    </row>
    <row r="91" spans="7:8" x14ac:dyDescent="0.25">
      <c r="G91" s="13" t="s">
        <v>208</v>
      </c>
      <c r="H91" s="14">
        <v>19000</v>
      </c>
    </row>
    <row r="92" spans="7:8" x14ac:dyDescent="0.25">
      <c r="G92" s="5" t="s">
        <v>209</v>
      </c>
      <c r="H92" s="17">
        <v>15000</v>
      </c>
    </row>
    <row r="93" spans="7:8" x14ac:dyDescent="0.25">
      <c r="G93" s="5" t="s">
        <v>210</v>
      </c>
      <c r="H93" s="17">
        <v>17000</v>
      </c>
    </row>
    <row r="94" spans="7:8" x14ac:dyDescent="0.25">
      <c r="G94" s="5" t="s">
        <v>211</v>
      </c>
      <c r="H94" s="17">
        <v>19000</v>
      </c>
    </row>
    <row r="95" spans="7:8" x14ac:dyDescent="0.25">
      <c r="G95" s="7" t="s">
        <v>212</v>
      </c>
      <c r="H95" s="8">
        <v>15000</v>
      </c>
    </row>
    <row r="96" spans="7:8" x14ac:dyDescent="0.25">
      <c r="G96" s="7" t="s">
        <v>213</v>
      </c>
      <c r="H96" s="8">
        <v>17000</v>
      </c>
    </row>
    <row r="97" spans="7:8" x14ac:dyDescent="0.25">
      <c r="G97" s="7" t="s">
        <v>214</v>
      </c>
      <c r="H97" s="8">
        <v>19000</v>
      </c>
    </row>
    <row r="98" spans="7:8" x14ac:dyDescent="0.25">
      <c r="G98" s="9" t="s">
        <v>215</v>
      </c>
      <c r="H98" s="10">
        <v>12000</v>
      </c>
    </row>
    <row r="99" spans="7:8" x14ac:dyDescent="0.25">
      <c r="G99" s="9" t="s">
        <v>216</v>
      </c>
      <c r="H99" s="10">
        <v>14000</v>
      </c>
    </row>
    <row r="100" spans="7:8" x14ac:dyDescent="0.25">
      <c r="G100" s="9" t="s">
        <v>217</v>
      </c>
      <c r="H100" s="10">
        <v>16000</v>
      </c>
    </row>
    <row r="101" spans="7:8" x14ac:dyDescent="0.25">
      <c r="G101" s="11" t="s">
        <v>218</v>
      </c>
      <c r="H101" s="12">
        <v>12000</v>
      </c>
    </row>
    <row r="102" spans="7:8" x14ac:dyDescent="0.25">
      <c r="G102" s="11" t="s">
        <v>219</v>
      </c>
      <c r="H102" s="12">
        <v>14000</v>
      </c>
    </row>
    <row r="103" spans="7:8" x14ac:dyDescent="0.25">
      <c r="G103" s="11" t="s">
        <v>220</v>
      </c>
      <c r="H103" s="12">
        <v>16000</v>
      </c>
    </row>
    <row r="104" spans="7:8" x14ac:dyDescent="0.25">
      <c r="G104" s="13" t="s">
        <v>221</v>
      </c>
      <c r="H104" s="14">
        <v>12000</v>
      </c>
    </row>
    <row r="105" spans="7:8" x14ac:dyDescent="0.25">
      <c r="G105" s="13" t="s">
        <v>222</v>
      </c>
      <c r="H105" s="14">
        <v>14000</v>
      </c>
    </row>
    <row r="106" spans="7:8" x14ac:dyDescent="0.25">
      <c r="G106" s="13" t="s">
        <v>223</v>
      </c>
      <c r="H106" s="14">
        <v>16000</v>
      </c>
    </row>
    <row r="107" spans="7:8" x14ac:dyDescent="0.25">
      <c r="G107" s="5" t="s">
        <v>224</v>
      </c>
      <c r="H107" s="17">
        <v>12000</v>
      </c>
    </row>
    <row r="108" spans="7:8" x14ac:dyDescent="0.25">
      <c r="G108" s="5" t="s">
        <v>225</v>
      </c>
      <c r="H108" s="17">
        <v>14000</v>
      </c>
    </row>
    <row r="109" spans="7:8" x14ac:dyDescent="0.25">
      <c r="G109" s="5" t="s">
        <v>226</v>
      </c>
      <c r="H109" s="17">
        <v>16000</v>
      </c>
    </row>
    <row r="110" spans="7:8" x14ac:dyDescent="0.25">
      <c r="G110" s="7" t="s">
        <v>227</v>
      </c>
      <c r="H110" s="8">
        <v>17000</v>
      </c>
    </row>
    <row r="111" spans="7:8" x14ac:dyDescent="0.25">
      <c r="G111" s="7" t="s">
        <v>229</v>
      </c>
      <c r="H111" s="8">
        <v>20000</v>
      </c>
    </row>
    <row r="112" spans="7:8" x14ac:dyDescent="0.25">
      <c r="G112" s="7" t="s">
        <v>228</v>
      </c>
      <c r="H112" s="8">
        <v>23000</v>
      </c>
    </row>
    <row r="113" spans="7:8" x14ac:dyDescent="0.25">
      <c r="G113" s="9" t="s">
        <v>230</v>
      </c>
      <c r="H113" s="10">
        <v>17000</v>
      </c>
    </row>
    <row r="114" spans="7:8" x14ac:dyDescent="0.25">
      <c r="G114" s="9" t="s">
        <v>231</v>
      </c>
      <c r="H114" s="10">
        <v>20000</v>
      </c>
    </row>
    <row r="115" spans="7:8" x14ac:dyDescent="0.25">
      <c r="G115" s="9" t="s">
        <v>232</v>
      </c>
      <c r="H115" s="10">
        <v>23000</v>
      </c>
    </row>
    <row r="116" spans="7:8" x14ac:dyDescent="0.25">
      <c r="G116" s="11" t="s">
        <v>233</v>
      </c>
      <c r="H116" s="12">
        <v>17000</v>
      </c>
    </row>
    <row r="117" spans="7:8" x14ac:dyDescent="0.25">
      <c r="G117" s="11" t="s">
        <v>234</v>
      </c>
      <c r="H117" s="12">
        <v>20000</v>
      </c>
    </row>
    <row r="118" spans="7:8" x14ac:dyDescent="0.25">
      <c r="G118" s="11" t="s">
        <v>235</v>
      </c>
      <c r="H118" s="12">
        <v>23000</v>
      </c>
    </row>
    <row r="119" spans="7:8" x14ac:dyDescent="0.25">
      <c r="G119" s="13" t="s">
        <v>236</v>
      </c>
      <c r="H119" s="14">
        <v>17000</v>
      </c>
    </row>
    <row r="120" spans="7:8" x14ac:dyDescent="0.25">
      <c r="G120" s="13" t="s">
        <v>237</v>
      </c>
      <c r="H120" s="14">
        <v>20000</v>
      </c>
    </row>
    <row r="121" spans="7:8" x14ac:dyDescent="0.25">
      <c r="G121" s="13" t="s">
        <v>238</v>
      </c>
      <c r="H121" s="14">
        <v>23000</v>
      </c>
    </row>
    <row r="122" spans="7:8" x14ac:dyDescent="0.25">
      <c r="G122" s="7" t="s">
        <v>239</v>
      </c>
      <c r="H122" s="8">
        <v>15000</v>
      </c>
    </row>
    <row r="123" spans="7:8" x14ac:dyDescent="0.25">
      <c r="G123" s="7" t="s">
        <v>241</v>
      </c>
      <c r="H123" s="8">
        <v>16000</v>
      </c>
    </row>
    <row r="124" spans="7:8" x14ac:dyDescent="0.25">
      <c r="G124" s="7" t="s">
        <v>240</v>
      </c>
      <c r="H124" s="8">
        <v>17000</v>
      </c>
    </row>
    <row r="125" spans="7:8" x14ac:dyDescent="0.25">
      <c r="G125" s="5" t="s">
        <v>242</v>
      </c>
      <c r="H125" s="17">
        <v>15000</v>
      </c>
    </row>
    <row r="126" spans="7:8" x14ac:dyDescent="0.25">
      <c r="G126" s="5" t="s">
        <v>243</v>
      </c>
      <c r="H126" s="17">
        <v>16000</v>
      </c>
    </row>
    <row r="127" spans="7:8" x14ac:dyDescent="0.25">
      <c r="G127" s="5" t="s">
        <v>244</v>
      </c>
      <c r="H127" s="17">
        <v>17000</v>
      </c>
    </row>
    <row r="128" spans="7:8" x14ac:dyDescent="0.25">
      <c r="G128" s="9" t="s">
        <v>245</v>
      </c>
      <c r="H128" s="10">
        <v>15000</v>
      </c>
    </row>
    <row r="129" spans="7:8" x14ac:dyDescent="0.25">
      <c r="G129" s="9" t="s">
        <v>246</v>
      </c>
      <c r="H129" s="10">
        <v>17000</v>
      </c>
    </row>
    <row r="130" spans="7:8" x14ac:dyDescent="0.25">
      <c r="G130" s="9" t="s">
        <v>247</v>
      </c>
      <c r="H130" s="10">
        <v>18000</v>
      </c>
    </row>
    <row r="131" spans="7:8" x14ac:dyDescent="0.25">
      <c r="G131" s="11" t="s">
        <v>248</v>
      </c>
      <c r="H131" s="12">
        <v>15000</v>
      </c>
    </row>
    <row r="132" spans="7:8" x14ac:dyDescent="0.25">
      <c r="G132" s="11" t="s">
        <v>249</v>
      </c>
      <c r="H132" s="12">
        <v>20000</v>
      </c>
    </row>
    <row r="133" spans="7:8" x14ac:dyDescent="0.25">
      <c r="G133" s="11" t="s">
        <v>250</v>
      </c>
      <c r="H133" s="12">
        <v>25000</v>
      </c>
    </row>
    <row r="134" spans="7:8" x14ac:dyDescent="0.25">
      <c r="G134" s="13" t="s">
        <v>251</v>
      </c>
      <c r="H134" s="14">
        <v>15000</v>
      </c>
    </row>
    <row r="135" spans="7:8" x14ac:dyDescent="0.25">
      <c r="G135" s="13" t="s">
        <v>252</v>
      </c>
      <c r="H135" s="14">
        <v>20000</v>
      </c>
    </row>
    <row r="136" spans="7:8" x14ac:dyDescent="0.25">
      <c r="G136" s="13" t="s">
        <v>253</v>
      </c>
      <c r="H136" s="14">
        <v>25000</v>
      </c>
    </row>
    <row r="137" spans="7:8" x14ac:dyDescent="0.25">
      <c r="G137" s="7" t="s">
        <v>254</v>
      </c>
      <c r="H137" s="8">
        <v>15000</v>
      </c>
    </row>
    <row r="138" spans="7:8" x14ac:dyDescent="0.25">
      <c r="G138" s="7" t="s">
        <v>255</v>
      </c>
      <c r="H138" s="8">
        <v>20000</v>
      </c>
    </row>
    <row r="139" spans="7:8" x14ac:dyDescent="0.25">
      <c r="G139" s="7" t="s">
        <v>256</v>
      </c>
      <c r="H139" s="8">
        <v>25000</v>
      </c>
    </row>
    <row r="140" spans="7:8" x14ac:dyDescent="0.25">
      <c r="G140" s="9" t="s">
        <v>257</v>
      </c>
      <c r="H140" s="10">
        <v>15000</v>
      </c>
    </row>
    <row r="141" spans="7:8" x14ac:dyDescent="0.25">
      <c r="G141" s="9" t="s">
        <v>258</v>
      </c>
      <c r="H141" s="10">
        <v>20000</v>
      </c>
    </row>
    <row r="142" spans="7:8" x14ac:dyDescent="0.25">
      <c r="G142" s="9" t="s">
        <v>259</v>
      </c>
      <c r="H142" s="10">
        <v>25000</v>
      </c>
    </row>
    <row r="143" spans="7:8" x14ac:dyDescent="0.25">
      <c r="G143" s="5" t="s">
        <v>260</v>
      </c>
      <c r="H143" s="6">
        <v>11000</v>
      </c>
    </row>
    <row r="144" spans="7:8" x14ac:dyDescent="0.25">
      <c r="G144" s="5" t="s">
        <v>261</v>
      </c>
      <c r="H144" s="6">
        <v>14000</v>
      </c>
    </row>
    <row r="145" spans="7:8" x14ac:dyDescent="0.25">
      <c r="G145" s="5" t="s">
        <v>262</v>
      </c>
      <c r="H145" s="6">
        <v>16000</v>
      </c>
    </row>
  </sheetData>
  <hyperlinks>
    <hyperlink ref="E2" r:id="rId1" xr:uid="{0514F823-BB01-4204-9618-1EAB62D66129}"/>
    <hyperlink ref="E3" r:id="rId2" xr:uid="{B8F99E75-2F14-4F76-A084-0FA9831AB265}"/>
    <hyperlink ref="E5" r:id="rId3" xr:uid="{24820654-91D4-4F76-AB3A-71716AC8BB3B}"/>
    <hyperlink ref="E6" r:id="rId4" xr:uid="{BA1E67AE-C749-48C6-8967-4108398FCE69}"/>
    <hyperlink ref="E7" r:id="rId5" xr:uid="{58F44C0A-F8C3-46D9-AE35-1FA3DA51EFD0}"/>
    <hyperlink ref="E8" r:id="rId6" xr:uid="{4AC144F7-88D0-4319-8566-1D992D44C645}"/>
    <hyperlink ref="E9" r:id="rId7" xr:uid="{8016E54C-113D-4B0C-916B-AC14AE938663}"/>
    <hyperlink ref="E10" r:id="rId8" xr:uid="{8941EA07-71E6-4520-A3E7-807AD8BCD4C4}"/>
    <hyperlink ref="E11" r:id="rId9" xr:uid="{8D720B7E-1623-4F1E-BBC4-8FC88721438C}"/>
    <hyperlink ref="E12" r:id="rId10" xr:uid="{84C357E2-4DCA-4438-96D7-58697923EF22}"/>
    <hyperlink ref="E14" r:id="rId11" xr:uid="{72872A31-5EA7-49C1-BB72-BA86D7B2DCA6}"/>
    <hyperlink ref="E13" r:id="rId12" xr:uid="{080526BB-0773-4786-ADAA-49A6EAD34881}"/>
    <hyperlink ref="E16" r:id="rId13" xr:uid="{647FD18F-B3AD-4F9B-B97E-3F0B49EA166E}"/>
    <hyperlink ref="E15" r:id="rId14" xr:uid="{487736CF-CE63-4292-AF47-BCDBDFA170B0}"/>
    <hyperlink ref="E17" r:id="rId15" xr:uid="{AFBE2078-A439-4EEB-88C0-F426FF2C29AD}"/>
    <hyperlink ref="E18" r:id="rId16" xr:uid="{12F2834F-6CF1-4278-B908-64B416C33226}"/>
    <hyperlink ref="E19" r:id="rId17" xr:uid="{3D8FD53C-2B07-4E4D-94B7-A39F881ADB4E}"/>
    <hyperlink ref="E20" r:id="rId18" xr:uid="{C0E3BF0A-AC18-412A-9310-D2BF694F9C5E}"/>
    <hyperlink ref="E21" r:id="rId19" xr:uid="{4DCA584A-830B-468F-965C-293B1AC7B151}"/>
    <hyperlink ref="E22" r:id="rId20" xr:uid="{105BB9D8-A194-4CEC-8B98-158DBC2A1C27}"/>
    <hyperlink ref="E23" r:id="rId21" xr:uid="{F85ED54C-2865-4D81-8157-5362B6347E91}"/>
    <hyperlink ref="E24" r:id="rId22" xr:uid="{CBCF10CF-C0F6-4BFF-AED4-D4770F9C4E3B}"/>
    <hyperlink ref="E25" r:id="rId23" xr:uid="{35E08D3F-743A-4F96-B045-FE27389DB393}"/>
    <hyperlink ref="E26" r:id="rId24" xr:uid="{42BC8F83-0D2B-4FA6-83F3-8085BD77E898}"/>
    <hyperlink ref="E27" r:id="rId25" xr:uid="{7163CBDE-6F8F-4E82-9DCC-7623FB40844C}"/>
    <hyperlink ref="E28" r:id="rId26" xr:uid="{8794AC56-6BCA-4ADE-8728-B499BE0802E0}"/>
    <hyperlink ref="E29" r:id="rId27" xr:uid="{C04ED243-8B91-4BFC-A7E5-A16A87B1300E}"/>
    <hyperlink ref="E30" r:id="rId28" xr:uid="{835FBC65-C36D-4D67-B056-86884C0BC4DA}"/>
    <hyperlink ref="E31" r:id="rId29" xr:uid="{F31296E6-1F53-45E8-AE6B-1CA04F450B30}"/>
    <hyperlink ref="E4" r:id="rId30" xr:uid="{9BBCE220-3D19-4540-B44A-EB608F629A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EF35-6861-441D-B3DB-4551D7A463F4}">
  <dimension ref="A1:P161"/>
  <sheetViews>
    <sheetView topLeftCell="A41" zoomScaleNormal="100" workbookViewId="0">
      <selection activeCell="G5" sqref="G5"/>
    </sheetView>
  </sheetViews>
  <sheetFormatPr baseColWidth="10" defaultRowHeight="15" x14ac:dyDescent="0.25"/>
  <cols>
    <col min="1" max="1" width="9.7109375" bestFit="1" customWidth="1"/>
    <col min="2" max="2" width="9.85546875" bestFit="1" customWidth="1"/>
    <col min="3" max="3" width="18.42578125" bestFit="1" customWidth="1"/>
    <col min="4" max="4" width="19.140625" bestFit="1" customWidth="1"/>
    <col min="5" max="5" width="19.7109375" bestFit="1" customWidth="1"/>
    <col min="6" max="6" width="11" bestFit="1" customWidth="1"/>
    <col min="7" max="7" width="28.5703125" bestFit="1" customWidth="1"/>
    <col min="8" max="8" width="8.85546875" bestFit="1" customWidth="1"/>
    <col min="9" max="9" width="26.7109375" bestFit="1" customWidth="1"/>
    <col min="10" max="10" width="9" bestFit="1" customWidth="1"/>
    <col min="11" max="11" width="19.7109375" bestFit="1" customWidth="1"/>
    <col min="13" max="13" width="16.140625" bestFit="1" customWidth="1"/>
    <col min="14" max="14" width="14.28515625" bestFit="1" customWidth="1"/>
    <col min="15" max="15" width="13.42578125" bestFit="1" customWidth="1"/>
    <col min="16" max="16" width="13" bestFit="1" customWidth="1"/>
  </cols>
  <sheetData>
    <row r="1" spans="1:16" x14ac:dyDescent="0.25">
      <c r="A1" s="4" t="s">
        <v>75</v>
      </c>
      <c r="B1" s="4" t="s">
        <v>388</v>
      </c>
      <c r="C1" s="4" t="s">
        <v>387</v>
      </c>
      <c r="D1" s="4" t="s">
        <v>389</v>
      </c>
      <c r="E1" s="4" t="s">
        <v>0</v>
      </c>
      <c r="F1" s="4" t="s">
        <v>79</v>
      </c>
      <c r="G1" s="4" t="s">
        <v>80</v>
      </c>
      <c r="H1" s="4" t="s">
        <v>1</v>
      </c>
      <c r="I1" s="4" t="s">
        <v>81</v>
      </c>
      <c r="J1" s="4" t="s">
        <v>82</v>
      </c>
      <c r="K1" s="4" t="s">
        <v>307</v>
      </c>
      <c r="L1" s="4" t="s">
        <v>2</v>
      </c>
      <c r="M1" s="4" t="s">
        <v>83</v>
      </c>
      <c r="N1" s="4" t="s">
        <v>84</v>
      </c>
      <c r="O1" s="4" t="s">
        <v>308</v>
      </c>
      <c r="P1" s="4" t="s">
        <v>3</v>
      </c>
    </row>
    <row r="2" spans="1:16" x14ac:dyDescent="0.25">
      <c r="A2" s="31" t="s">
        <v>328</v>
      </c>
      <c r="B2" s="31" t="s">
        <v>329</v>
      </c>
      <c r="C2" s="1" t="s">
        <v>386</v>
      </c>
      <c r="D2" s="1">
        <v>1001234567</v>
      </c>
      <c r="E2" s="2">
        <v>37330</v>
      </c>
      <c r="F2" s="1">
        <v>3004567891</v>
      </c>
      <c r="G2" s="3" t="s">
        <v>103</v>
      </c>
      <c r="H2" s="1">
        <v>2</v>
      </c>
      <c r="I2" s="1" t="s">
        <v>55</v>
      </c>
      <c r="J2" s="1" t="s">
        <v>12</v>
      </c>
      <c r="K2" s="1" t="s">
        <v>5</v>
      </c>
      <c r="L2" s="1" t="s">
        <v>473</v>
      </c>
      <c r="M2" s="1" t="s">
        <v>7</v>
      </c>
      <c r="N2" s="32">
        <v>20000</v>
      </c>
      <c r="O2" s="32">
        <v>2500</v>
      </c>
      <c r="P2" s="32">
        <v>68000</v>
      </c>
    </row>
    <row r="3" spans="1:16" x14ac:dyDescent="0.25">
      <c r="A3" s="31" t="s">
        <v>328</v>
      </c>
      <c r="B3" s="31" t="s">
        <v>329</v>
      </c>
      <c r="C3" s="1" t="s">
        <v>386</v>
      </c>
      <c r="D3" s="1">
        <v>1001234567</v>
      </c>
      <c r="E3" s="2">
        <v>37330</v>
      </c>
      <c r="F3" s="1">
        <v>3004567891</v>
      </c>
      <c r="G3" s="3" t="s">
        <v>103</v>
      </c>
      <c r="H3" s="1">
        <v>1</v>
      </c>
      <c r="I3" s="1" t="s">
        <v>390</v>
      </c>
      <c r="J3" s="1" t="s">
        <v>9</v>
      </c>
      <c r="K3" s="1" t="s">
        <v>265</v>
      </c>
      <c r="L3" s="1" t="s">
        <v>473</v>
      </c>
      <c r="M3" s="1" t="s">
        <v>7</v>
      </c>
      <c r="N3" s="32">
        <v>22000</v>
      </c>
      <c r="O3" s="32">
        <v>1000</v>
      </c>
      <c r="P3" s="32">
        <v>68000</v>
      </c>
    </row>
    <row r="4" spans="1:16" x14ac:dyDescent="0.25">
      <c r="A4" s="31" t="s">
        <v>330</v>
      </c>
      <c r="B4" s="31" t="s">
        <v>331</v>
      </c>
      <c r="C4" s="1" t="s">
        <v>386</v>
      </c>
      <c r="D4" s="1">
        <v>1002345678</v>
      </c>
      <c r="E4" s="2">
        <v>37094</v>
      </c>
      <c r="F4" s="1">
        <v>3015678902</v>
      </c>
      <c r="G4" s="3" t="s">
        <v>104</v>
      </c>
      <c r="H4" s="1">
        <v>1</v>
      </c>
      <c r="I4" s="1" t="s">
        <v>8</v>
      </c>
      <c r="J4" s="1" t="s">
        <v>9</v>
      </c>
      <c r="K4" s="1" t="s">
        <v>295</v>
      </c>
      <c r="L4" s="1" t="s">
        <v>6</v>
      </c>
      <c r="M4" s="1" t="s">
        <v>10</v>
      </c>
      <c r="N4" s="32">
        <v>26000</v>
      </c>
      <c r="O4" s="32">
        <v>2000</v>
      </c>
      <c r="P4" s="32">
        <f>SUM(N4,O4)*H4</f>
        <v>28000</v>
      </c>
    </row>
    <row r="5" spans="1:16" x14ac:dyDescent="0.25">
      <c r="A5" s="31" t="s">
        <v>332</v>
      </c>
      <c r="B5" s="31" t="s">
        <v>333</v>
      </c>
      <c r="C5" s="1" t="s">
        <v>386</v>
      </c>
      <c r="D5" s="1">
        <v>1003456789</v>
      </c>
      <c r="E5" s="2">
        <v>37933</v>
      </c>
      <c r="F5" s="1">
        <v>3026789013</v>
      </c>
      <c r="G5" s="3" t="s">
        <v>510</v>
      </c>
      <c r="H5" s="1">
        <v>3</v>
      </c>
      <c r="I5" s="1" t="s">
        <v>11</v>
      </c>
      <c r="J5" s="1" t="s">
        <v>12</v>
      </c>
      <c r="K5" s="1" t="s">
        <v>295</v>
      </c>
      <c r="L5" s="1" t="s">
        <v>6</v>
      </c>
      <c r="M5" s="1" t="s">
        <v>13</v>
      </c>
      <c r="N5" s="32">
        <v>20000</v>
      </c>
      <c r="O5" s="32">
        <v>2000</v>
      </c>
      <c r="P5" s="32">
        <f>SUM(N5,O5)*H5</f>
        <v>66000</v>
      </c>
    </row>
    <row r="6" spans="1:16" x14ac:dyDescent="0.25">
      <c r="A6" s="31" t="s">
        <v>334</v>
      </c>
      <c r="B6" s="31" t="s">
        <v>335</v>
      </c>
      <c r="C6" s="1" t="s">
        <v>386</v>
      </c>
      <c r="D6" s="1">
        <v>1004567890</v>
      </c>
      <c r="E6" s="2">
        <v>36544</v>
      </c>
      <c r="F6" s="1">
        <v>3037890124</v>
      </c>
      <c r="G6" s="3" t="s">
        <v>105</v>
      </c>
      <c r="H6" s="1">
        <v>1</v>
      </c>
      <c r="I6" s="1" t="s">
        <v>60</v>
      </c>
      <c r="J6" s="1" t="s">
        <v>9</v>
      </c>
      <c r="K6" s="1" t="s">
        <v>273</v>
      </c>
      <c r="L6" s="1" t="s">
        <v>6</v>
      </c>
      <c r="M6" s="1" t="s">
        <v>15</v>
      </c>
      <c r="N6" s="32">
        <v>22000</v>
      </c>
      <c r="O6" s="32">
        <v>1500</v>
      </c>
      <c r="P6" s="32">
        <f t="shared" ref="P6:P47" si="0">SUM(N6,O6)*H6</f>
        <v>23500</v>
      </c>
    </row>
    <row r="7" spans="1:16" x14ac:dyDescent="0.25">
      <c r="A7" s="31" t="s">
        <v>336</v>
      </c>
      <c r="B7" s="31" t="s">
        <v>337</v>
      </c>
      <c r="C7" s="1" t="s">
        <v>386</v>
      </c>
      <c r="D7" s="1">
        <v>1005678901</v>
      </c>
      <c r="E7" s="2">
        <v>37406</v>
      </c>
      <c r="F7" s="1">
        <v>3048901235</v>
      </c>
      <c r="G7" s="3" t="s">
        <v>106</v>
      </c>
      <c r="H7" s="1">
        <v>2</v>
      </c>
      <c r="I7" s="1" t="s">
        <v>391</v>
      </c>
      <c r="J7" s="1" t="s">
        <v>12</v>
      </c>
      <c r="K7" s="1" t="s">
        <v>393</v>
      </c>
      <c r="L7" s="1" t="s">
        <v>6</v>
      </c>
      <c r="M7" s="1" t="s">
        <v>17</v>
      </c>
      <c r="N7" s="32">
        <v>23000</v>
      </c>
      <c r="O7" s="32">
        <v>1500</v>
      </c>
      <c r="P7" s="32">
        <v>70000</v>
      </c>
    </row>
    <row r="8" spans="1:16" x14ac:dyDescent="0.25">
      <c r="A8" s="31" t="s">
        <v>336</v>
      </c>
      <c r="B8" s="31" t="s">
        <v>337</v>
      </c>
      <c r="C8" s="1" t="s">
        <v>386</v>
      </c>
      <c r="D8" s="1">
        <v>1005678901</v>
      </c>
      <c r="E8" s="2">
        <v>37406</v>
      </c>
      <c r="F8" s="1">
        <v>3048901235</v>
      </c>
      <c r="G8" s="3" t="s">
        <v>106</v>
      </c>
      <c r="H8" s="1">
        <v>1</v>
      </c>
      <c r="I8" s="1" t="s">
        <v>392</v>
      </c>
      <c r="J8" s="1" t="s">
        <v>9</v>
      </c>
      <c r="K8" s="1" t="s">
        <v>25</v>
      </c>
      <c r="L8" s="1" t="s">
        <v>6</v>
      </c>
      <c r="M8" s="1" t="s">
        <v>17</v>
      </c>
      <c r="N8" s="32">
        <v>19000</v>
      </c>
      <c r="O8" s="32">
        <v>2000</v>
      </c>
      <c r="P8" s="32">
        <v>70000</v>
      </c>
    </row>
    <row r="9" spans="1:16" x14ac:dyDescent="0.25">
      <c r="A9" s="31" t="s">
        <v>338</v>
      </c>
      <c r="B9" s="31" t="s">
        <v>339</v>
      </c>
      <c r="C9" s="1" t="s">
        <v>386</v>
      </c>
      <c r="D9" s="1">
        <v>1006789012</v>
      </c>
      <c r="E9" s="2">
        <v>37146</v>
      </c>
      <c r="F9" s="1">
        <v>3059012346</v>
      </c>
      <c r="G9" s="3" t="s">
        <v>107</v>
      </c>
      <c r="H9" s="1">
        <v>1</v>
      </c>
      <c r="I9" s="1" t="s">
        <v>18</v>
      </c>
      <c r="J9" s="1" t="s">
        <v>9</v>
      </c>
      <c r="K9" s="1" t="s">
        <v>266</v>
      </c>
      <c r="L9" s="1" t="s">
        <v>6</v>
      </c>
      <c r="M9" s="1" t="s">
        <v>19</v>
      </c>
      <c r="N9" s="32">
        <v>28000</v>
      </c>
      <c r="O9" s="32">
        <v>2000</v>
      </c>
      <c r="P9" s="32">
        <f t="shared" si="0"/>
        <v>30000</v>
      </c>
    </row>
    <row r="10" spans="1:16" x14ac:dyDescent="0.25">
      <c r="A10" s="31" t="s">
        <v>340</v>
      </c>
      <c r="B10" s="31" t="s">
        <v>341</v>
      </c>
      <c r="C10" s="1" t="s">
        <v>386</v>
      </c>
      <c r="D10" s="1">
        <v>1007890123</v>
      </c>
      <c r="E10" s="2">
        <v>37980</v>
      </c>
      <c r="F10" s="1">
        <v>3060123457</v>
      </c>
      <c r="G10" s="3" t="s">
        <v>108</v>
      </c>
      <c r="H10" s="22">
        <v>2</v>
      </c>
      <c r="I10" s="1" t="s">
        <v>394</v>
      </c>
      <c r="J10" s="1" t="s">
        <v>9</v>
      </c>
      <c r="K10" s="1" t="s">
        <v>271</v>
      </c>
      <c r="L10" s="1" t="s">
        <v>6</v>
      </c>
      <c r="M10" s="1" t="s">
        <v>21</v>
      </c>
      <c r="N10" s="32">
        <v>23000</v>
      </c>
      <c r="O10" s="32">
        <v>1500</v>
      </c>
      <c r="P10" s="32">
        <v>120000</v>
      </c>
    </row>
    <row r="11" spans="1:16" x14ac:dyDescent="0.25">
      <c r="A11" s="31" t="s">
        <v>340</v>
      </c>
      <c r="B11" s="31" t="s">
        <v>341</v>
      </c>
      <c r="C11" s="1" t="s">
        <v>386</v>
      </c>
      <c r="D11" s="1">
        <v>1007890123</v>
      </c>
      <c r="E11" s="2">
        <v>37980</v>
      </c>
      <c r="F11" s="1">
        <v>3060123457</v>
      </c>
      <c r="G11" s="3" t="s">
        <v>108</v>
      </c>
      <c r="H11" s="22">
        <v>2</v>
      </c>
      <c r="I11" s="1" t="s">
        <v>395</v>
      </c>
      <c r="J11" s="1" t="s">
        <v>12</v>
      </c>
      <c r="K11" s="1" t="s">
        <v>16</v>
      </c>
      <c r="L11" s="1" t="s">
        <v>6</v>
      </c>
      <c r="M11" s="1" t="s">
        <v>21</v>
      </c>
      <c r="N11" s="32">
        <v>23000</v>
      </c>
      <c r="O11" s="32">
        <v>1500</v>
      </c>
      <c r="P11" s="32">
        <v>120000</v>
      </c>
    </row>
    <row r="12" spans="1:16" x14ac:dyDescent="0.25">
      <c r="A12" s="31" t="s">
        <v>340</v>
      </c>
      <c r="B12" s="31" t="s">
        <v>341</v>
      </c>
      <c r="C12" s="1" t="s">
        <v>386</v>
      </c>
      <c r="D12" s="1">
        <v>1007890123</v>
      </c>
      <c r="E12" s="2">
        <v>37980</v>
      </c>
      <c r="F12" s="1">
        <v>3060123457</v>
      </c>
      <c r="G12" s="3" t="s">
        <v>108</v>
      </c>
      <c r="H12" s="22">
        <v>2</v>
      </c>
      <c r="I12" s="1" t="s">
        <v>18</v>
      </c>
      <c r="J12" s="1" t="s">
        <v>31</v>
      </c>
      <c r="K12" s="1" t="s">
        <v>295</v>
      </c>
      <c r="L12" s="1" t="s">
        <v>6</v>
      </c>
      <c r="M12" s="1" t="s">
        <v>21</v>
      </c>
      <c r="N12" s="32">
        <v>20000</v>
      </c>
      <c r="O12" s="32">
        <v>2000</v>
      </c>
      <c r="P12" s="32">
        <v>120000</v>
      </c>
    </row>
    <row r="13" spans="1:16" x14ac:dyDescent="0.25">
      <c r="A13" s="31" t="s">
        <v>342</v>
      </c>
      <c r="B13" s="31" t="s">
        <v>343</v>
      </c>
      <c r="C13" s="1" t="s">
        <v>386</v>
      </c>
      <c r="D13" s="1">
        <v>1008901234</v>
      </c>
      <c r="E13" s="2">
        <v>37290</v>
      </c>
      <c r="F13" s="1">
        <v>3071234568</v>
      </c>
      <c r="G13" s="3" t="s">
        <v>109</v>
      </c>
      <c r="H13" s="1">
        <v>1</v>
      </c>
      <c r="I13" s="1" t="s">
        <v>396</v>
      </c>
      <c r="J13" s="1" t="s">
        <v>12</v>
      </c>
      <c r="K13" s="1" t="s">
        <v>273</v>
      </c>
      <c r="L13" s="1" t="s">
        <v>6</v>
      </c>
      <c r="M13" s="1" t="s">
        <v>23</v>
      </c>
      <c r="N13" s="32">
        <v>14000</v>
      </c>
      <c r="O13" s="32">
        <v>1500</v>
      </c>
      <c r="P13" s="32">
        <v>30500</v>
      </c>
    </row>
    <row r="14" spans="1:16" x14ac:dyDescent="0.25">
      <c r="A14" s="31" t="s">
        <v>342</v>
      </c>
      <c r="B14" s="31" t="s">
        <v>343</v>
      </c>
      <c r="C14" s="1" t="s">
        <v>386</v>
      </c>
      <c r="D14" s="1">
        <v>1008901234</v>
      </c>
      <c r="E14" s="2">
        <v>37290</v>
      </c>
      <c r="F14" s="1">
        <v>3071234568</v>
      </c>
      <c r="G14" s="3" t="s">
        <v>109</v>
      </c>
      <c r="H14" s="1">
        <v>1</v>
      </c>
      <c r="I14" s="1" t="s">
        <v>397</v>
      </c>
      <c r="J14" s="1" t="s">
        <v>12</v>
      </c>
      <c r="K14" s="1" t="s">
        <v>272</v>
      </c>
      <c r="L14" s="1" t="s">
        <v>6</v>
      </c>
      <c r="M14" s="1" t="s">
        <v>23</v>
      </c>
      <c r="N14" s="32">
        <v>14000</v>
      </c>
      <c r="O14" s="32">
        <v>1000</v>
      </c>
      <c r="P14" s="32">
        <v>30500</v>
      </c>
    </row>
    <row r="15" spans="1:16" x14ac:dyDescent="0.25">
      <c r="A15" s="31" t="s">
        <v>344</v>
      </c>
      <c r="B15" s="31" t="s">
        <v>345</v>
      </c>
      <c r="C15" s="1" t="s">
        <v>386</v>
      </c>
      <c r="D15" s="1">
        <v>1009012345</v>
      </c>
      <c r="E15" s="2">
        <v>36694</v>
      </c>
      <c r="F15" s="1">
        <v>3082345679</v>
      </c>
      <c r="G15" s="3" t="s">
        <v>110</v>
      </c>
      <c r="H15" s="1">
        <v>3</v>
      </c>
      <c r="I15" s="1" t="s">
        <v>24</v>
      </c>
      <c r="J15" s="1" t="s">
        <v>9</v>
      </c>
      <c r="K15" s="1" t="s">
        <v>265</v>
      </c>
      <c r="L15" s="1" t="s">
        <v>473</v>
      </c>
      <c r="M15" s="1" t="s">
        <v>26</v>
      </c>
      <c r="N15" s="32">
        <v>25000</v>
      </c>
      <c r="O15" s="32">
        <v>1000</v>
      </c>
      <c r="P15" s="32">
        <f t="shared" si="0"/>
        <v>78000</v>
      </c>
    </row>
    <row r="16" spans="1:16" x14ac:dyDescent="0.25">
      <c r="A16" s="31" t="s">
        <v>346</v>
      </c>
      <c r="B16" s="31" t="s">
        <v>347</v>
      </c>
      <c r="C16" s="1" t="s">
        <v>386</v>
      </c>
      <c r="D16" s="1">
        <v>1010123456</v>
      </c>
      <c r="E16" s="2">
        <v>37922</v>
      </c>
      <c r="F16" s="1">
        <v>3093456780</v>
      </c>
      <c r="G16" s="3" t="s">
        <v>111</v>
      </c>
      <c r="H16" s="1">
        <v>2</v>
      </c>
      <c r="I16" s="1" t="s">
        <v>27</v>
      </c>
      <c r="J16" s="1" t="s">
        <v>12</v>
      </c>
      <c r="K16" s="1" t="s">
        <v>20</v>
      </c>
      <c r="L16" s="1" t="s">
        <v>6</v>
      </c>
      <c r="M16" s="1" t="s">
        <v>29</v>
      </c>
      <c r="N16" s="32">
        <v>15000</v>
      </c>
      <c r="O16" s="32">
        <v>1500</v>
      </c>
      <c r="P16" s="32">
        <v>49000</v>
      </c>
    </row>
    <row r="17" spans="1:16" x14ac:dyDescent="0.25">
      <c r="A17" s="31" t="s">
        <v>346</v>
      </c>
      <c r="B17" s="31" t="s">
        <v>347</v>
      </c>
      <c r="C17" s="1" t="s">
        <v>386</v>
      </c>
      <c r="D17" s="1">
        <v>1010123456</v>
      </c>
      <c r="E17" s="2">
        <v>37922</v>
      </c>
      <c r="F17" s="1">
        <v>3093456780</v>
      </c>
      <c r="G17" s="3" t="s">
        <v>111</v>
      </c>
      <c r="H17" s="1">
        <v>1</v>
      </c>
      <c r="I17" s="1" t="s">
        <v>114</v>
      </c>
      <c r="J17" s="1" t="s">
        <v>31</v>
      </c>
      <c r="K17" s="1" t="s">
        <v>268</v>
      </c>
      <c r="L17" s="1" t="s">
        <v>6</v>
      </c>
      <c r="M17" s="1" t="s">
        <v>29</v>
      </c>
      <c r="N17" s="32">
        <v>15000</v>
      </c>
      <c r="O17" s="32">
        <v>1000</v>
      </c>
      <c r="P17" s="32">
        <v>49000</v>
      </c>
    </row>
    <row r="18" spans="1:16" x14ac:dyDescent="0.25">
      <c r="A18" s="31" t="s">
        <v>348</v>
      </c>
      <c r="B18" s="31" t="s">
        <v>349</v>
      </c>
      <c r="C18" s="1" t="s">
        <v>386</v>
      </c>
      <c r="D18" s="1">
        <v>1011234567</v>
      </c>
      <c r="E18" s="2">
        <v>36992</v>
      </c>
      <c r="F18" s="1">
        <v>3104567891</v>
      </c>
      <c r="G18" s="3" t="s">
        <v>30</v>
      </c>
      <c r="H18" s="1">
        <v>1</v>
      </c>
      <c r="I18" s="1" t="s">
        <v>114</v>
      </c>
      <c r="J18" s="1" t="s">
        <v>31</v>
      </c>
      <c r="K18" s="1" t="s">
        <v>20</v>
      </c>
      <c r="L18" s="1" t="s">
        <v>6</v>
      </c>
      <c r="M18" s="1" t="s">
        <v>32</v>
      </c>
      <c r="N18" s="32">
        <v>15000</v>
      </c>
      <c r="O18" s="32">
        <v>1500</v>
      </c>
      <c r="P18" s="32">
        <f t="shared" si="0"/>
        <v>16500</v>
      </c>
    </row>
    <row r="19" spans="1:16" x14ac:dyDescent="0.25">
      <c r="A19" s="31" t="s">
        <v>350</v>
      </c>
      <c r="B19" s="31" t="s">
        <v>351</v>
      </c>
      <c r="C19" s="1" t="s">
        <v>386</v>
      </c>
      <c r="D19" s="1">
        <v>1012345678</v>
      </c>
      <c r="E19" s="2">
        <v>37474</v>
      </c>
      <c r="F19" s="1">
        <v>3115678902</v>
      </c>
      <c r="G19" s="3" t="s">
        <v>151</v>
      </c>
      <c r="H19" s="1">
        <v>2</v>
      </c>
      <c r="I19" s="1" t="s">
        <v>398</v>
      </c>
      <c r="J19" s="1" t="s">
        <v>9</v>
      </c>
      <c r="K19" s="1" t="s">
        <v>272</v>
      </c>
      <c r="L19" s="1" t="s">
        <v>6</v>
      </c>
      <c r="M19" s="1" t="s">
        <v>33</v>
      </c>
      <c r="N19" s="32">
        <v>17000</v>
      </c>
      <c r="O19" s="32">
        <v>1000</v>
      </c>
      <c r="P19" s="32">
        <v>99000</v>
      </c>
    </row>
    <row r="20" spans="1:16" x14ac:dyDescent="0.25">
      <c r="A20" s="31" t="s">
        <v>350</v>
      </c>
      <c r="B20" s="31" t="s">
        <v>351</v>
      </c>
      <c r="C20" s="1" t="s">
        <v>386</v>
      </c>
      <c r="D20" s="1">
        <v>1012345678</v>
      </c>
      <c r="E20" s="2">
        <v>37474</v>
      </c>
      <c r="F20" s="1">
        <v>3115678902</v>
      </c>
      <c r="G20" s="3" t="s">
        <v>151</v>
      </c>
      <c r="H20" s="1">
        <v>3</v>
      </c>
      <c r="I20" s="1" t="s">
        <v>400</v>
      </c>
      <c r="J20" s="1" t="s">
        <v>12</v>
      </c>
      <c r="K20" s="1" t="s">
        <v>399</v>
      </c>
      <c r="L20" s="1" t="s">
        <v>6</v>
      </c>
      <c r="M20" s="1" t="s">
        <v>33</v>
      </c>
      <c r="N20" s="32">
        <v>20000</v>
      </c>
      <c r="O20" s="32">
        <v>1000</v>
      </c>
      <c r="P20" s="32">
        <v>99000</v>
      </c>
    </row>
    <row r="21" spans="1:16" x14ac:dyDescent="0.25">
      <c r="A21" s="31" t="s">
        <v>352</v>
      </c>
      <c r="B21" s="31" t="s">
        <v>353</v>
      </c>
      <c r="C21" s="1" t="s">
        <v>386</v>
      </c>
      <c r="D21" s="1">
        <v>1013456789</v>
      </c>
      <c r="E21" s="2">
        <v>38009</v>
      </c>
      <c r="F21" s="1">
        <v>3126789013</v>
      </c>
      <c r="G21" s="3" t="s">
        <v>34</v>
      </c>
      <c r="H21" s="1">
        <v>1</v>
      </c>
      <c r="I21" s="1" t="s">
        <v>119</v>
      </c>
      <c r="J21" s="1" t="s">
        <v>12</v>
      </c>
      <c r="K21" s="1" t="s">
        <v>14</v>
      </c>
      <c r="L21" s="1" t="s">
        <v>6</v>
      </c>
      <c r="M21" s="1" t="s">
        <v>35</v>
      </c>
      <c r="N21" s="32">
        <v>25000</v>
      </c>
      <c r="O21" s="32">
        <v>1500</v>
      </c>
      <c r="P21" s="32">
        <f t="shared" si="0"/>
        <v>26500</v>
      </c>
    </row>
    <row r="22" spans="1:16" x14ac:dyDescent="0.25">
      <c r="A22" s="31" t="s">
        <v>354</v>
      </c>
      <c r="B22" s="31" t="s">
        <v>345</v>
      </c>
      <c r="C22" s="1" t="s">
        <v>386</v>
      </c>
      <c r="D22" s="1">
        <v>1014567890</v>
      </c>
      <c r="E22" s="2">
        <v>37025</v>
      </c>
      <c r="F22" s="1">
        <v>3137890124</v>
      </c>
      <c r="G22" s="3" t="s">
        <v>36</v>
      </c>
      <c r="H22" s="1">
        <v>3</v>
      </c>
      <c r="I22" s="1" t="s">
        <v>401</v>
      </c>
      <c r="J22" s="1" t="s">
        <v>9</v>
      </c>
      <c r="K22" s="1" t="s">
        <v>393</v>
      </c>
      <c r="L22" s="1" t="s">
        <v>6</v>
      </c>
      <c r="M22" s="1" t="s">
        <v>37</v>
      </c>
      <c r="N22" s="32">
        <v>19000</v>
      </c>
      <c r="O22" s="32">
        <v>1500</v>
      </c>
      <c r="P22" s="32">
        <v>173500</v>
      </c>
    </row>
    <row r="23" spans="1:16" x14ac:dyDescent="0.25">
      <c r="A23" s="31" t="s">
        <v>354</v>
      </c>
      <c r="B23" s="31" t="s">
        <v>345</v>
      </c>
      <c r="C23" s="1" t="s">
        <v>386</v>
      </c>
      <c r="D23" s="1">
        <v>1014567890</v>
      </c>
      <c r="E23" s="2">
        <v>37025</v>
      </c>
      <c r="F23" s="1">
        <v>3137890124</v>
      </c>
      <c r="G23" s="3" t="s">
        <v>36</v>
      </c>
      <c r="H23" s="1">
        <v>4</v>
      </c>
      <c r="I23" s="1" t="s">
        <v>402</v>
      </c>
      <c r="J23" s="1" t="s">
        <v>9</v>
      </c>
      <c r="K23" s="1" t="s">
        <v>25</v>
      </c>
      <c r="L23" s="1" t="s">
        <v>6</v>
      </c>
      <c r="M23" s="1" t="s">
        <v>37</v>
      </c>
      <c r="N23" s="32">
        <v>26000</v>
      </c>
      <c r="O23" s="32">
        <v>2000</v>
      </c>
      <c r="P23" s="32">
        <v>173500</v>
      </c>
    </row>
    <row r="24" spans="1:16" x14ac:dyDescent="0.25">
      <c r="A24" s="31" t="s">
        <v>355</v>
      </c>
      <c r="B24" s="31" t="s">
        <v>356</v>
      </c>
      <c r="C24" s="1" t="s">
        <v>386</v>
      </c>
      <c r="D24" s="1">
        <v>1015678901</v>
      </c>
      <c r="E24" s="2">
        <v>37903</v>
      </c>
      <c r="F24" s="1">
        <v>3148901235</v>
      </c>
      <c r="G24" s="3" t="s">
        <v>38</v>
      </c>
      <c r="H24" s="1">
        <v>2</v>
      </c>
      <c r="I24" s="1" t="s">
        <v>39</v>
      </c>
      <c r="J24" s="1" t="s">
        <v>12</v>
      </c>
      <c r="K24" s="1" t="s">
        <v>20</v>
      </c>
      <c r="L24" s="1" t="s">
        <v>6</v>
      </c>
      <c r="M24" s="1" t="s">
        <v>40</v>
      </c>
      <c r="N24" s="32">
        <v>14000</v>
      </c>
      <c r="O24" s="32">
        <v>1500</v>
      </c>
      <c r="P24" s="32">
        <f t="shared" si="0"/>
        <v>31000</v>
      </c>
    </row>
    <row r="25" spans="1:16" x14ac:dyDescent="0.25">
      <c r="A25" s="31" t="s">
        <v>357</v>
      </c>
      <c r="B25" s="31" t="s">
        <v>358</v>
      </c>
      <c r="C25" s="1" t="s">
        <v>467</v>
      </c>
      <c r="D25" s="1">
        <v>1016789012</v>
      </c>
      <c r="E25" s="2">
        <v>36583</v>
      </c>
      <c r="F25" s="1">
        <v>3159012346</v>
      </c>
      <c r="G25" s="3" t="s">
        <v>41</v>
      </c>
      <c r="H25" s="1">
        <v>1</v>
      </c>
      <c r="I25" s="1" t="s">
        <v>42</v>
      </c>
      <c r="J25" s="1" t="s">
        <v>9</v>
      </c>
      <c r="K25" s="1" t="s">
        <v>16</v>
      </c>
      <c r="L25" s="1" t="s">
        <v>6</v>
      </c>
      <c r="M25" s="1" t="s">
        <v>43</v>
      </c>
      <c r="N25" s="32">
        <v>18000</v>
      </c>
      <c r="O25" s="32">
        <v>1500</v>
      </c>
      <c r="P25" s="32">
        <f t="shared" si="0"/>
        <v>19500</v>
      </c>
    </row>
    <row r="26" spans="1:16" x14ac:dyDescent="0.25">
      <c r="A26" s="31" t="s">
        <v>359</v>
      </c>
      <c r="B26" s="31" t="s">
        <v>360</v>
      </c>
      <c r="C26" s="1" t="s">
        <v>386</v>
      </c>
      <c r="D26" s="1">
        <v>1017890123</v>
      </c>
      <c r="E26" s="2">
        <v>37608</v>
      </c>
      <c r="F26" s="1">
        <v>3160123457</v>
      </c>
      <c r="G26" s="3" t="s">
        <v>44</v>
      </c>
      <c r="H26" s="1">
        <v>2</v>
      </c>
      <c r="I26" s="1" t="s">
        <v>45</v>
      </c>
      <c r="J26" s="1" t="s">
        <v>12</v>
      </c>
      <c r="K26" s="1" t="s">
        <v>28</v>
      </c>
      <c r="L26" s="1" t="s">
        <v>6</v>
      </c>
      <c r="M26" s="1" t="s">
        <v>46</v>
      </c>
      <c r="N26" s="32">
        <v>16000</v>
      </c>
      <c r="O26" s="32">
        <v>1500</v>
      </c>
      <c r="P26" s="32">
        <f t="shared" si="0"/>
        <v>35000</v>
      </c>
    </row>
    <row r="27" spans="1:16" x14ac:dyDescent="0.25">
      <c r="A27" s="31" t="s">
        <v>361</v>
      </c>
      <c r="B27" s="31" t="s">
        <v>362</v>
      </c>
      <c r="C27" s="1" t="s">
        <v>386</v>
      </c>
      <c r="D27" s="1">
        <v>1018901234</v>
      </c>
      <c r="E27" s="2">
        <v>37047</v>
      </c>
      <c r="F27" s="1">
        <v>3171234568</v>
      </c>
      <c r="G27" s="3" t="s">
        <v>278</v>
      </c>
      <c r="H27" s="1">
        <v>1</v>
      </c>
      <c r="I27" s="1" t="s">
        <v>398</v>
      </c>
      <c r="J27" s="1" t="s">
        <v>9</v>
      </c>
      <c r="K27" s="1" t="s">
        <v>22</v>
      </c>
      <c r="L27" s="1" t="s">
        <v>6</v>
      </c>
      <c r="M27" s="1" t="s">
        <v>47</v>
      </c>
      <c r="N27" s="32">
        <v>17000</v>
      </c>
      <c r="O27" s="32">
        <v>2000</v>
      </c>
      <c r="P27" s="32">
        <v>52000</v>
      </c>
    </row>
    <row r="28" spans="1:16" x14ac:dyDescent="0.25">
      <c r="A28" s="31" t="s">
        <v>361</v>
      </c>
      <c r="B28" s="31" t="s">
        <v>362</v>
      </c>
      <c r="C28" s="1" t="s">
        <v>386</v>
      </c>
      <c r="D28" s="1">
        <v>1018901234</v>
      </c>
      <c r="E28" s="2">
        <v>37047</v>
      </c>
      <c r="F28" s="1">
        <v>3171234568</v>
      </c>
      <c r="G28" s="3" t="s">
        <v>278</v>
      </c>
      <c r="H28" s="1">
        <v>2</v>
      </c>
      <c r="I28" s="1" t="s">
        <v>403</v>
      </c>
      <c r="J28" s="1" t="s">
        <v>31</v>
      </c>
      <c r="K28" s="1" t="s">
        <v>273</v>
      </c>
      <c r="L28" s="1" t="s">
        <v>6</v>
      </c>
      <c r="M28" s="1" t="s">
        <v>47</v>
      </c>
      <c r="N28" s="32">
        <v>15000</v>
      </c>
      <c r="O28" s="32">
        <v>1500</v>
      </c>
      <c r="P28" s="32">
        <v>52000</v>
      </c>
    </row>
    <row r="29" spans="1:16" x14ac:dyDescent="0.25">
      <c r="A29" s="31" t="s">
        <v>363</v>
      </c>
      <c r="B29" s="31" t="s">
        <v>364</v>
      </c>
      <c r="C29" s="1" t="s">
        <v>386</v>
      </c>
      <c r="D29" s="1">
        <v>1019012345</v>
      </c>
      <c r="E29" s="2">
        <v>37885</v>
      </c>
      <c r="F29" s="1">
        <v>3182345679</v>
      </c>
      <c r="G29" s="3" t="s">
        <v>48</v>
      </c>
      <c r="H29" s="1">
        <v>2</v>
      </c>
      <c r="I29" s="1" t="s">
        <v>49</v>
      </c>
      <c r="J29" s="1" t="s">
        <v>9</v>
      </c>
      <c r="K29" s="23" t="s">
        <v>265</v>
      </c>
      <c r="L29" s="1" t="s">
        <v>6</v>
      </c>
      <c r="M29" s="1" t="s">
        <v>50</v>
      </c>
      <c r="N29" s="32">
        <v>23000</v>
      </c>
      <c r="O29" s="32">
        <v>1000</v>
      </c>
      <c r="P29" s="32">
        <f t="shared" si="0"/>
        <v>48000</v>
      </c>
    </row>
    <row r="30" spans="1:16" x14ac:dyDescent="0.25">
      <c r="A30" s="31" t="s">
        <v>365</v>
      </c>
      <c r="B30" s="31" t="s">
        <v>366</v>
      </c>
      <c r="C30" s="1" t="s">
        <v>386</v>
      </c>
      <c r="D30" s="1">
        <v>1020123456</v>
      </c>
      <c r="E30" s="2">
        <v>37331</v>
      </c>
      <c r="F30" s="1">
        <v>3193456780</v>
      </c>
      <c r="G30" s="3" t="s">
        <v>51</v>
      </c>
      <c r="H30" s="1">
        <v>1</v>
      </c>
      <c r="I30" s="1" t="s">
        <v>52</v>
      </c>
      <c r="J30" s="1" t="s">
        <v>12</v>
      </c>
      <c r="K30" s="1" t="s">
        <v>266</v>
      </c>
      <c r="L30" s="1" t="s">
        <v>6</v>
      </c>
      <c r="M30" s="1" t="s">
        <v>53</v>
      </c>
      <c r="N30" s="32">
        <v>14000</v>
      </c>
      <c r="O30" s="32">
        <v>2000</v>
      </c>
      <c r="P30" s="32">
        <f t="shared" si="0"/>
        <v>16000</v>
      </c>
    </row>
    <row r="31" spans="1:16" x14ac:dyDescent="0.25">
      <c r="A31" s="31" t="s">
        <v>338</v>
      </c>
      <c r="B31" s="31" t="s">
        <v>367</v>
      </c>
      <c r="C31" s="1" t="s">
        <v>386</v>
      </c>
      <c r="D31" s="1">
        <v>1021234567</v>
      </c>
      <c r="E31" s="2">
        <v>36736</v>
      </c>
      <c r="F31" s="1">
        <v>3005678901</v>
      </c>
      <c r="G31" s="3" t="s">
        <v>54</v>
      </c>
      <c r="H31" s="1">
        <v>3</v>
      </c>
      <c r="I31" s="1" t="s">
        <v>55</v>
      </c>
      <c r="J31" s="1" t="s">
        <v>9</v>
      </c>
      <c r="K31" s="1" t="s">
        <v>303</v>
      </c>
      <c r="L31" s="1" t="s">
        <v>6</v>
      </c>
      <c r="M31" s="1" t="s">
        <v>56</v>
      </c>
      <c r="N31" s="32">
        <v>23000</v>
      </c>
      <c r="O31" s="32">
        <v>1500</v>
      </c>
      <c r="P31" s="32">
        <f t="shared" si="0"/>
        <v>73500</v>
      </c>
    </row>
    <row r="32" spans="1:16" x14ac:dyDescent="0.25">
      <c r="A32" s="31" t="s">
        <v>368</v>
      </c>
      <c r="B32" s="31" t="s">
        <v>369</v>
      </c>
      <c r="C32" s="1" t="s">
        <v>386</v>
      </c>
      <c r="D32" s="1">
        <v>1022345678</v>
      </c>
      <c r="E32" s="2">
        <v>37205</v>
      </c>
      <c r="F32" s="1">
        <v>3016789012</v>
      </c>
      <c r="G32" s="3" t="s">
        <v>57</v>
      </c>
      <c r="H32" s="22">
        <v>2</v>
      </c>
      <c r="I32" s="1" t="s">
        <v>391</v>
      </c>
      <c r="J32" s="1" t="s">
        <v>9</v>
      </c>
      <c r="K32" s="1" t="s">
        <v>268</v>
      </c>
      <c r="L32" s="1" t="s">
        <v>6</v>
      </c>
      <c r="M32" s="1" t="s">
        <v>58</v>
      </c>
      <c r="N32" s="32">
        <v>25000</v>
      </c>
      <c r="O32" s="32">
        <v>1000</v>
      </c>
      <c r="P32" s="32">
        <v>311000</v>
      </c>
    </row>
    <row r="33" spans="1:16" x14ac:dyDescent="0.25">
      <c r="A33" s="31" t="s">
        <v>368</v>
      </c>
      <c r="B33" s="31" t="s">
        <v>369</v>
      </c>
      <c r="C33" s="1" t="s">
        <v>386</v>
      </c>
      <c r="D33" s="1">
        <v>1022345678</v>
      </c>
      <c r="E33" s="2">
        <v>37205</v>
      </c>
      <c r="F33" s="1">
        <v>3016789012</v>
      </c>
      <c r="G33" s="3" t="s">
        <v>57</v>
      </c>
      <c r="H33" s="22">
        <v>3</v>
      </c>
      <c r="I33" s="1" t="s">
        <v>392</v>
      </c>
      <c r="J33" s="1" t="s">
        <v>12</v>
      </c>
      <c r="K33" s="1" t="s">
        <v>22</v>
      </c>
      <c r="L33" s="1" t="s">
        <v>6</v>
      </c>
      <c r="M33" s="1" t="s">
        <v>58</v>
      </c>
      <c r="N33" s="32">
        <v>17000</v>
      </c>
      <c r="O33" s="32">
        <v>2000</v>
      </c>
      <c r="P33" s="32">
        <v>311000</v>
      </c>
    </row>
    <row r="34" spans="1:16" x14ac:dyDescent="0.25">
      <c r="A34" s="31" t="s">
        <v>368</v>
      </c>
      <c r="B34" s="31" t="s">
        <v>369</v>
      </c>
      <c r="C34" s="1" t="s">
        <v>386</v>
      </c>
      <c r="D34" s="1">
        <v>1022345678</v>
      </c>
      <c r="E34" s="2">
        <v>37205</v>
      </c>
      <c r="F34" s="1">
        <v>3016789012</v>
      </c>
      <c r="G34" s="3" t="s">
        <v>57</v>
      </c>
      <c r="H34" s="22">
        <v>4</v>
      </c>
      <c r="I34" s="1" t="s">
        <v>39</v>
      </c>
      <c r="J34" s="1" t="s">
        <v>12</v>
      </c>
      <c r="K34" s="1" t="s">
        <v>393</v>
      </c>
      <c r="L34" s="1" t="s">
        <v>6</v>
      </c>
      <c r="M34" s="1" t="s">
        <v>58</v>
      </c>
      <c r="N34" s="32">
        <v>14000</v>
      </c>
      <c r="O34" s="32">
        <v>1500</v>
      </c>
      <c r="P34" s="32">
        <v>311000</v>
      </c>
    </row>
    <row r="35" spans="1:16" x14ac:dyDescent="0.25">
      <c r="A35" s="31" t="s">
        <v>368</v>
      </c>
      <c r="B35" s="31" t="s">
        <v>369</v>
      </c>
      <c r="C35" s="1" t="s">
        <v>386</v>
      </c>
      <c r="D35" s="1">
        <v>1022345678</v>
      </c>
      <c r="E35" s="2">
        <v>37205</v>
      </c>
      <c r="F35" s="1">
        <v>3016789012</v>
      </c>
      <c r="G35" s="3" t="s">
        <v>57</v>
      </c>
      <c r="H35" s="22">
        <v>7</v>
      </c>
      <c r="I35" s="1" t="s">
        <v>404</v>
      </c>
      <c r="J35" s="1" t="s">
        <v>31</v>
      </c>
      <c r="K35" s="1" t="s">
        <v>295</v>
      </c>
      <c r="L35" s="1" t="s">
        <v>6</v>
      </c>
      <c r="M35" s="1" t="s">
        <v>58</v>
      </c>
      <c r="N35" s="32">
        <v>15000</v>
      </c>
      <c r="O35" s="32">
        <v>2000</v>
      </c>
      <c r="P35" s="32">
        <v>311000</v>
      </c>
    </row>
    <row r="36" spans="1:16" x14ac:dyDescent="0.25">
      <c r="A36" s="31" t="s">
        <v>368</v>
      </c>
      <c r="B36" s="31" t="s">
        <v>369</v>
      </c>
      <c r="C36" s="1" t="s">
        <v>386</v>
      </c>
      <c r="D36" s="1">
        <v>1022345678</v>
      </c>
      <c r="E36" s="2">
        <v>37205</v>
      </c>
      <c r="F36" s="1">
        <v>3016789012</v>
      </c>
      <c r="G36" s="3" t="s">
        <v>57</v>
      </c>
      <c r="H36" s="22">
        <v>1</v>
      </c>
      <c r="I36" s="1" t="s">
        <v>402</v>
      </c>
      <c r="J36" s="1" t="s">
        <v>31</v>
      </c>
      <c r="K36" s="1" t="s">
        <v>265</v>
      </c>
      <c r="L36" s="1" t="s">
        <v>6</v>
      </c>
      <c r="M36" s="1" t="s">
        <v>58</v>
      </c>
      <c r="N36" s="32">
        <v>20000</v>
      </c>
      <c r="O36" s="32">
        <v>1000</v>
      </c>
      <c r="P36" s="32">
        <v>311000</v>
      </c>
    </row>
    <row r="37" spans="1:16" x14ac:dyDescent="0.25">
      <c r="A37" s="31" t="s">
        <v>370</v>
      </c>
      <c r="B37" s="31" t="s">
        <v>371</v>
      </c>
      <c r="C37" s="1" t="s">
        <v>386</v>
      </c>
      <c r="D37" s="1">
        <v>1023456789</v>
      </c>
      <c r="E37" s="2">
        <v>37735</v>
      </c>
      <c r="F37" s="1">
        <v>3027890123</v>
      </c>
      <c r="G37" s="3" t="s">
        <v>59</v>
      </c>
      <c r="H37" s="1">
        <v>1</v>
      </c>
      <c r="I37" s="1" t="s">
        <v>60</v>
      </c>
      <c r="J37" s="1" t="s">
        <v>12</v>
      </c>
      <c r="K37" s="1" t="s">
        <v>273</v>
      </c>
      <c r="L37" s="1" t="s">
        <v>6</v>
      </c>
      <c r="M37" s="1" t="s">
        <v>61</v>
      </c>
      <c r="N37" s="32">
        <v>16000</v>
      </c>
      <c r="O37" s="32">
        <v>1500</v>
      </c>
      <c r="P37" s="32">
        <f t="shared" si="0"/>
        <v>17500</v>
      </c>
    </row>
    <row r="38" spans="1:16" x14ac:dyDescent="0.25">
      <c r="A38" s="31" t="s">
        <v>372</v>
      </c>
      <c r="B38" s="31" t="s">
        <v>373</v>
      </c>
      <c r="C38" s="1" t="s">
        <v>386</v>
      </c>
      <c r="D38" s="1">
        <v>1024567890</v>
      </c>
      <c r="E38" s="2">
        <v>37263</v>
      </c>
      <c r="F38" s="1">
        <v>3038901234</v>
      </c>
      <c r="G38" s="3" t="s">
        <v>62</v>
      </c>
      <c r="H38" s="1">
        <v>2</v>
      </c>
      <c r="I38" s="1" t="s">
        <v>18</v>
      </c>
      <c r="J38" s="1" t="s">
        <v>9</v>
      </c>
      <c r="K38" s="1" t="s">
        <v>20</v>
      </c>
      <c r="L38" s="1" t="s">
        <v>6</v>
      </c>
      <c r="M38" s="1" t="s">
        <v>63</v>
      </c>
      <c r="N38" s="32">
        <v>28000</v>
      </c>
      <c r="O38" s="32">
        <v>1500</v>
      </c>
      <c r="P38" s="32">
        <f t="shared" si="0"/>
        <v>59000</v>
      </c>
    </row>
    <row r="39" spans="1:16" x14ac:dyDescent="0.25">
      <c r="A39" s="31" t="s">
        <v>374</v>
      </c>
      <c r="B39" s="31" t="s">
        <v>375</v>
      </c>
      <c r="C39" s="1" t="s">
        <v>467</v>
      </c>
      <c r="D39" s="1">
        <v>1025678901</v>
      </c>
      <c r="E39" s="2">
        <v>36751</v>
      </c>
      <c r="F39" s="1">
        <v>3049012345</v>
      </c>
      <c r="G39" s="3" t="s">
        <v>64</v>
      </c>
      <c r="H39" s="1">
        <v>1</v>
      </c>
      <c r="I39" s="1" t="s">
        <v>405</v>
      </c>
      <c r="J39" s="1" t="s">
        <v>12</v>
      </c>
      <c r="K39" s="1" t="s">
        <v>406</v>
      </c>
      <c r="L39" s="1" t="s">
        <v>6</v>
      </c>
      <c r="M39" s="1" t="s">
        <v>65</v>
      </c>
      <c r="N39" s="32">
        <v>20000</v>
      </c>
      <c r="O39" s="32">
        <v>2000</v>
      </c>
      <c r="P39" s="32">
        <v>88000</v>
      </c>
    </row>
    <row r="40" spans="1:16" x14ac:dyDescent="0.25">
      <c r="A40" s="31" t="s">
        <v>374</v>
      </c>
      <c r="B40" s="31" t="s">
        <v>375</v>
      </c>
      <c r="C40" s="1" t="s">
        <v>467</v>
      </c>
      <c r="D40" s="1">
        <v>1025678901</v>
      </c>
      <c r="E40" s="2">
        <v>36751</v>
      </c>
      <c r="F40" s="1">
        <v>3049012345</v>
      </c>
      <c r="G40" s="3" t="s">
        <v>64</v>
      </c>
      <c r="H40" s="1">
        <v>3</v>
      </c>
      <c r="I40" s="1" t="s">
        <v>400</v>
      </c>
      <c r="J40" s="1" t="s">
        <v>12</v>
      </c>
      <c r="K40" s="1" t="s">
        <v>25</v>
      </c>
      <c r="L40" s="1" t="s">
        <v>6</v>
      </c>
      <c r="M40" s="1" t="s">
        <v>65</v>
      </c>
      <c r="N40" s="32">
        <v>20000</v>
      </c>
      <c r="O40" s="32">
        <v>2000</v>
      </c>
      <c r="P40" s="32">
        <v>88000</v>
      </c>
    </row>
    <row r="41" spans="1:16" x14ac:dyDescent="0.25">
      <c r="A41" s="31" t="s">
        <v>376</v>
      </c>
      <c r="B41" s="31" t="s">
        <v>377</v>
      </c>
      <c r="C41" s="1" t="s">
        <v>386</v>
      </c>
      <c r="D41" s="1">
        <v>1026789012</v>
      </c>
      <c r="E41" s="2">
        <v>37767</v>
      </c>
      <c r="F41" s="1">
        <v>3050123456</v>
      </c>
      <c r="G41" s="3" t="s">
        <v>66</v>
      </c>
      <c r="H41" s="1">
        <v>3</v>
      </c>
      <c r="I41" s="1" t="s">
        <v>27</v>
      </c>
      <c r="J41" s="1" t="s">
        <v>9</v>
      </c>
      <c r="K41" s="1" t="s">
        <v>273</v>
      </c>
      <c r="L41" s="1" t="s">
        <v>6</v>
      </c>
      <c r="M41" s="1" t="s">
        <v>67</v>
      </c>
      <c r="N41" s="32">
        <v>17000</v>
      </c>
      <c r="O41" s="32">
        <v>1500</v>
      </c>
      <c r="P41" s="32">
        <f t="shared" si="0"/>
        <v>55500</v>
      </c>
    </row>
    <row r="42" spans="1:16" x14ac:dyDescent="0.25">
      <c r="A42" s="31" t="s">
        <v>378</v>
      </c>
      <c r="B42" s="31" t="s">
        <v>379</v>
      </c>
      <c r="C42" s="1" t="s">
        <v>386</v>
      </c>
      <c r="D42" s="1">
        <v>1027890123</v>
      </c>
      <c r="E42" s="2">
        <v>37227</v>
      </c>
      <c r="F42" s="1">
        <v>3061234567</v>
      </c>
      <c r="G42" s="3" t="s">
        <v>68</v>
      </c>
      <c r="H42" s="1">
        <v>2</v>
      </c>
      <c r="I42" s="1" t="s">
        <v>119</v>
      </c>
      <c r="J42" s="1" t="s">
        <v>9</v>
      </c>
      <c r="K42" s="1" t="s">
        <v>5</v>
      </c>
      <c r="L42" s="1" t="s">
        <v>6</v>
      </c>
      <c r="M42" s="1" t="s">
        <v>69</v>
      </c>
      <c r="N42" s="32">
        <v>30000</v>
      </c>
      <c r="O42" s="32">
        <v>2500</v>
      </c>
      <c r="P42" s="32">
        <f t="shared" si="0"/>
        <v>65000</v>
      </c>
    </row>
    <row r="43" spans="1:16" x14ac:dyDescent="0.25">
      <c r="A43" s="31" t="s">
        <v>380</v>
      </c>
      <c r="B43" s="31" t="s">
        <v>381</v>
      </c>
      <c r="C43" s="1" t="s">
        <v>386</v>
      </c>
      <c r="D43" s="1">
        <v>1028901234</v>
      </c>
      <c r="E43" s="2">
        <v>38158</v>
      </c>
      <c r="F43" s="1">
        <v>3072345678</v>
      </c>
      <c r="G43" s="3" t="s">
        <v>70</v>
      </c>
      <c r="H43" s="1">
        <v>1</v>
      </c>
      <c r="I43" s="1" t="s">
        <v>401</v>
      </c>
      <c r="J43" s="1" t="s">
        <v>12</v>
      </c>
      <c r="K43" s="1" t="s">
        <v>5</v>
      </c>
      <c r="L43" s="1" t="s">
        <v>473</v>
      </c>
      <c r="M43" s="1" t="s">
        <v>71</v>
      </c>
      <c r="N43" s="32">
        <v>17000</v>
      </c>
      <c r="O43" s="32">
        <v>2500</v>
      </c>
      <c r="P43" s="32">
        <v>35500</v>
      </c>
    </row>
    <row r="44" spans="1:16" x14ac:dyDescent="0.25">
      <c r="A44" s="31" t="s">
        <v>380</v>
      </c>
      <c r="B44" s="31" t="s">
        <v>381</v>
      </c>
      <c r="C44" s="1" t="s">
        <v>386</v>
      </c>
      <c r="D44" s="1">
        <v>1028901234</v>
      </c>
      <c r="E44" s="2">
        <v>38158</v>
      </c>
      <c r="F44" s="1">
        <v>3072345678</v>
      </c>
      <c r="G44" s="3" t="s">
        <v>70</v>
      </c>
      <c r="H44" s="1">
        <v>1</v>
      </c>
      <c r="I44" s="1" t="s">
        <v>407</v>
      </c>
      <c r="J44" s="1" t="s">
        <v>31</v>
      </c>
      <c r="K44" s="1" t="s">
        <v>265</v>
      </c>
      <c r="L44" s="1" t="s">
        <v>473</v>
      </c>
      <c r="M44" s="1" t="s">
        <v>71</v>
      </c>
      <c r="N44" s="32">
        <v>15000</v>
      </c>
      <c r="O44" s="32">
        <v>1000</v>
      </c>
      <c r="P44" s="32">
        <v>35500</v>
      </c>
    </row>
    <row r="45" spans="1:16" x14ac:dyDescent="0.25">
      <c r="A45" s="31" t="s">
        <v>382</v>
      </c>
      <c r="B45" s="31" t="s">
        <v>383</v>
      </c>
      <c r="C45" s="1" t="s">
        <v>386</v>
      </c>
      <c r="D45" s="1">
        <v>1029012345</v>
      </c>
      <c r="E45" s="2">
        <v>37560</v>
      </c>
      <c r="F45" s="1">
        <v>3083456789</v>
      </c>
      <c r="G45" s="3" t="s">
        <v>72</v>
      </c>
      <c r="H45" s="1">
        <v>2</v>
      </c>
      <c r="I45" s="1" t="s">
        <v>42</v>
      </c>
      <c r="J45" s="1" t="s">
        <v>9</v>
      </c>
      <c r="K45" s="1" t="s">
        <v>266</v>
      </c>
      <c r="L45" s="1" t="s">
        <v>6</v>
      </c>
      <c r="M45" s="1" t="s">
        <v>73</v>
      </c>
      <c r="N45" s="32">
        <v>18000</v>
      </c>
      <c r="O45" s="32">
        <v>2000</v>
      </c>
      <c r="P45" s="32">
        <v>58000</v>
      </c>
    </row>
    <row r="46" spans="1:16" x14ac:dyDescent="0.25">
      <c r="A46" s="31" t="s">
        <v>382</v>
      </c>
      <c r="B46" s="31" t="s">
        <v>383</v>
      </c>
      <c r="C46" s="1" t="s">
        <v>386</v>
      </c>
      <c r="D46" s="1">
        <v>1029012345</v>
      </c>
      <c r="E46" s="2">
        <v>37560</v>
      </c>
      <c r="F46" s="1">
        <v>3083456789</v>
      </c>
      <c r="G46" s="3" t="s">
        <v>72</v>
      </c>
      <c r="H46" s="1">
        <v>1</v>
      </c>
      <c r="I46" s="1" t="s">
        <v>39</v>
      </c>
      <c r="J46" s="1" t="s">
        <v>9</v>
      </c>
      <c r="K46" s="1" t="s">
        <v>14</v>
      </c>
      <c r="L46" s="1" t="s">
        <v>6</v>
      </c>
      <c r="M46" s="1" t="s">
        <v>73</v>
      </c>
      <c r="N46" s="32">
        <v>16000</v>
      </c>
      <c r="O46" s="32">
        <v>2000</v>
      </c>
      <c r="P46" s="32">
        <v>58000</v>
      </c>
    </row>
    <row r="47" spans="1:16" x14ac:dyDescent="0.25">
      <c r="A47" s="31" t="s">
        <v>384</v>
      </c>
      <c r="B47" s="31" t="s">
        <v>385</v>
      </c>
      <c r="C47" s="1" t="s">
        <v>467</v>
      </c>
      <c r="D47" s="1">
        <v>1030123456</v>
      </c>
      <c r="E47" s="2">
        <v>36931</v>
      </c>
      <c r="F47" s="1">
        <v>3094567890</v>
      </c>
      <c r="G47" s="3" t="s">
        <v>511</v>
      </c>
      <c r="H47" s="1">
        <v>1</v>
      </c>
      <c r="I47" s="1" t="s">
        <v>11</v>
      </c>
      <c r="J47" s="1" t="s">
        <v>9</v>
      </c>
      <c r="K47" s="1" t="s">
        <v>266</v>
      </c>
      <c r="L47" s="1" t="s">
        <v>6</v>
      </c>
      <c r="M47" s="1" t="s">
        <v>74</v>
      </c>
      <c r="N47" s="32">
        <v>25000</v>
      </c>
      <c r="O47" s="32">
        <v>2000</v>
      </c>
      <c r="P47" s="32">
        <f t="shared" si="0"/>
        <v>27000</v>
      </c>
    </row>
    <row r="51" spans="9:13" x14ac:dyDescent="0.25">
      <c r="I51" s="26"/>
      <c r="J51" s="27"/>
      <c r="L51" s="26"/>
    </row>
    <row r="52" spans="9:13" x14ac:dyDescent="0.25">
      <c r="I52" s="26"/>
      <c r="J52" s="27"/>
      <c r="L52" s="28"/>
      <c r="M52" s="29"/>
    </row>
    <row r="53" spans="9:13" x14ac:dyDescent="0.25">
      <c r="I53" s="26"/>
      <c r="J53" s="27"/>
      <c r="L53" s="28"/>
      <c r="M53" s="29"/>
    </row>
    <row r="54" spans="9:13" x14ac:dyDescent="0.25">
      <c r="I54" s="26"/>
      <c r="J54" s="27"/>
      <c r="L54" s="28"/>
      <c r="M54" s="29"/>
    </row>
    <row r="55" spans="9:13" x14ac:dyDescent="0.25">
      <c r="I55" s="26"/>
      <c r="J55" s="27"/>
      <c r="L55" s="28"/>
      <c r="M55" s="29"/>
    </row>
    <row r="56" spans="9:13" x14ac:dyDescent="0.25">
      <c r="I56" s="26"/>
      <c r="J56" s="27"/>
      <c r="L56" s="28"/>
      <c r="M56" s="29"/>
    </row>
    <row r="57" spans="9:13" x14ac:dyDescent="0.25">
      <c r="I57" s="26"/>
      <c r="J57" s="27"/>
      <c r="L57" s="28"/>
      <c r="M57" s="29"/>
    </row>
    <row r="58" spans="9:13" x14ac:dyDescent="0.25">
      <c r="I58" s="26"/>
      <c r="J58" s="27"/>
      <c r="L58" s="28"/>
      <c r="M58" s="29"/>
    </row>
    <row r="59" spans="9:13" x14ac:dyDescent="0.25">
      <c r="I59" s="26"/>
      <c r="J59" s="27"/>
      <c r="L59" s="28"/>
      <c r="M59" s="29"/>
    </row>
    <row r="60" spans="9:13" x14ac:dyDescent="0.25">
      <c r="I60" s="26"/>
      <c r="J60" s="27"/>
      <c r="L60" s="28"/>
      <c r="M60" s="29"/>
    </row>
    <row r="61" spans="9:13" x14ac:dyDescent="0.25">
      <c r="I61" s="26"/>
      <c r="J61" s="27"/>
      <c r="L61" s="30"/>
      <c r="M61" s="29"/>
    </row>
    <row r="62" spans="9:13" x14ac:dyDescent="0.25">
      <c r="I62" s="26"/>
      <c r="J62" s="27"/>
      <c r="L62" s="30"/>
      <c r="M62" s="29"/>
    </row>
    <row r="63" spans="9:13" x14ac:dyDescent="0.25">
      <c r="I63" s="26"/>
      <c r="J63" s="27"/>
      <c r="L63" s="30"/>
      <c r="M63" s="29"/>
    </row>
    <row r="64" spans="9:13" x14ac:dyDescent="0.25">
      <c r="I64" s="26"/>
      <c r="J64" s="27"/>
      <c r="L64" s="30"/>
      <c r="M64" s="29"/>
    </row>
    <row r="65" spans="9:13" x14ac:dyDescent="0.25">
      <c r="I65" s="26"/>
      <c r="J65" s="27"/>
      <c r="L65" s="30"/>
      <c r="M65" s="29"/>
    </row>
    <row r="66" spans="9:13" x14ac:dyDescent="0.25">
      <c r="I66" s="26"/>
      <c r="J66" s="27"/>
      <c r="L66" s="30"/>
      <c r="M66" s="29"/>
    </row>
    <row r="67" spans="9:13" x14ac:dyDescent="0.25">
      <c r="I67" s="26"/>
      <c r="J67" s="27"/>
      <c r="L67" s="30"/>
      <c r="M67" s="29"/>
    </row>
    <row r="68" spans="9:13" x14ac:dyDescent="0.25">
      <c r="I68" s="26"/>
      <c r="J68" s="27"/>
    </row>
    <row r="69" spans="9:13" x14ac:dyDescent="0.25">
      <c r="I69" s="26"/>
      <c r="J69" s="27"/>
    </row>
    <row r="70" spans="9:13" x14ac:dyDescent="0.25">
      <c r="I70" s="26"/>
      <c r="J70" s="27"/>
    </row>
    <row r="71" spans="9:13" x14ac:dyDescent="0.25">
      <c r="I71" s="26"/>
      <c r="J71" s="27"/>
    </row>
    <row r="72" spans="9:13" x14ac:dyDescent="0.25">
      <c r="I72" s="26"/>
      <c r="J72" s="27"/>
    </row>
    <row r="73" spans="9:13" x14ac:dyDescent="0.25">
      <c r="I73" s="26"/>
      <c r="J73" s="27"/>
    </row>
    <row r="74" spans="9:13" x14ac:dyDescent="0.25">
      <c r="I74" s="26"/>
      <c r="J74" s="27"/>
    </row>
    <row r="75" spans="9:13" x14ac:dyDescent="0.25">
      <c r="I75" s="26"/>
      <c r="J75" s="27"/>
    </row>
    <row r="76" spans="9:13" x14ac:dyDescent="0.25">
      <c r="I76" s="26"/>
      <c r="J76" s="27"/>
    </row>
    <row r="77" spans="9:13" x14ac:dyDescent="0.25">
      <c r="I77" s="26"/>
      <c r="J77" s="27"/>
    </row>
    <row r="78" spans="9:13" x14ac:dyDescent="0.25">
      <c r="I78" s="26"/>
      <c r="J78" s="27"/>
    </row>
    <row r="79" spans="9:13" x14ac:dyDescent="0.25">
      <c r="I79" s="26"/>
      <c r="J79" s="27"/>
    </row>
    <row r="80" spans="9:13" x14ac:dyDescent="0.25">
      <c r="I80" s="26"/>
      <c r="J80" s="27"/>
    </row>
    <row r="81" spans="9:10" x14ac:dyDescent="0.25">
      <c r="I81" s="26"/>
      <c r="J81" s="27"/>
    </row>
    <row r="82" spans="9:10" x14ac:dyDescent="0.25">
      <c r="I82" s="26"/>
      <c r="J82" s="27"/>
    </row>
    <row r="83" spans="9:10" x14ac:dyDescent="0.25">
      <c r="I83" s="26"/>
      <c r="J83" s="27"/>
    </row>
    <row r="84" spans="9:10" x14ac:dyDescent="0.25">
      <c r="I84" s="26"/>
      <c r="J84" s="27"/>
    </row>
    <row r="85" spans="9:10" x14ac:dyDescent="0.25">
      <c r="I85" s="26"/>
      <c r="J85" s="27"/>
    </row>
    <row r="86" spans="9:10" x14ac:dyDescent="0.25">
      <c r="I86" s="26"/>
      <c r="J86" s="27"/>
    </row>
    <row r="87" spans="9:10" x14ac:dyDescent="0.25">
      <c r="I87" s="26"/>
      <c r="J87" s="27"/>
    </row>
    <row r="88" spans="9:10" x14ac:dyDescent="0.25">
      <c r="I88" s="26"/>
      <c r="J88" s="27"/>
    </row>
    <row r="89" spans="9:10" x14ac:dyDescent="0.25">
      <c r="I89" s="26"/>
      <c r="J89" s="27"/>
    </row>
    <row r="90" spans="9:10" x14ac:dyDescent="0.25">
      <c r="I90" s="26"/>
      <c r="J90" s="27"/>
    </row>
    <row r="91" spans="9:10" x14ac:dyDescent="0.25">
      <c r="I91" s="26"/>
      <c r="J91" s="27"/>
    </row>
    <row r="92" spans="9:10" x14ac:dyDescent="0.25">
      <c r="I92" s="26"/>
      <c r="J92" s="27"/>
    </row>
    <row r="93" spans="9:10" x14ac:dyDescent="0.25">
      <c r="I93" s="26"/>
      <c r="J93" s="27"/>
    </row>
    <row r="94" spans="9:10" x14ac:dyDescent="0.25">
      <c r="I94" s="26"/>
      <c r="J94" s="27"/>
    </row>
    <row r="95" spans="9:10" x14ac:dyDescent="0.25">
      <c r="I95" s="26"/>
      <c r="J95" s="27"/>
    </row>
    <row r="96" spans="9:10" x14ac:dyDescent="0.25">
      <c r="I96" s="26"/>
      <c r="J96" s="27"/>
    </row>
    <row r="97" spans="9:10" x14ac:dyDescent="0.25">
      <c r="I97" s="26"/>
      <c r="J97" s="27"/>
    </row>
    <row r="98" spans="9:10" x14ac:dyDescent="0.25">
      <c r="I98" s="26"/>
      <c r="J98" s="27"/>
    </row>
    <row r="99" spans="9:10" x14ac:dyDescent="0.25">
      <c r="I99" s="26"/>
      <c r="J99" s="27"/>
    </row>
    <row r="100" spans="9:10" x14ac:dyDescent="0.25">
      <c r="I100" s="26"/>
      <c r="J100" s="27"/>
    </row>
    <row r="101" spans="9:10" x14ac:dyDescent="0.25">
      <c r="I101" s="26"/>
      <c r="J101" s="27"/>
    </row>
    <row r="102" spans="9:10" x14ac:dyDescent="0.25">
      <c r="I102" s="26"/>
      <c r="J102" s="27"/>
    </row>
    <row r="103" spans="9:10" x14ac:dyDescent="0.25">
      <c r="I103" s="26"/>
      <c r="J103" s="27"/>
    </row>
    <row r="104" spans="9:10" x14ac:dyDescent="0.25">
      <c r="I104" s="26"/>
      <c r="J104" s="27"/>
    </row>
    <row r="105" spans="9:10" x14ac:dyDescent="0.25">
      <c r="I105" s="26"/>
      <c r="J105" s="27"/>
    </row>
    <row r="106" spans="9:10" x14ac:dyDescent="0.25">
      <c r="I106" s="26"/>
      <c r="J106" s="27"/>
    </row>
    <row r="107" spans="9:10" x14ac:dyDescent="0.25">
      <c r="I107" s="26"/>
      <c r="J107" s="27"/>
    </row>
    <row r="108" spans="9:10" x14ac:dyDescent="0.25">
      <c r="I108" s="26"/>
      <c r="J108" s="27"/>
    </row>
    <row r="109" spans="9:10" x14ac:dyDescent="0.25">
      <c r="I109" s="26"/>
      <c r="J109" s="27"/>
    </row>
    <row r="110" spans="9:10" x14ac:dyDescent="0.25">
      <c r="I110" s="26"/>
      <c r="J110" s="27"/>
    </row>
    <row r="111" spans="9:10" x14ac:dyDescent="0.25">
      <c r="I111" s="26"/>
      <c r="J111" s="27"/>
    </row>
    <row r="112" spans="9:10" x14ac:dyDescent="0.25">
      <c r="I112" s="26"/>
      <c r="J112" s="27"/>
    </row>
    <row r="113" spans="9:10" x14ac:dyDescent="0.25">
      <c r="I113" s="26"/>
      <c r="J113" s="27"/>
    </row>
    <row r="114" spans="9:10" x14ac:dyDescent="0.25">
      <c r="I114" s="26"/>
      <c r="J114" s="27"/>
    </row>
    <row r="115" spans="9:10" x14ac:dyDescent="0.25">
      <c r="I115" s="26"/>
      <c r="J115" s="27"/>
    </row>
    <row r="116" spans="9:10" x14ac:dyDescent="0.25">
      <c r="I116" s="26"/>
      <c r="J116" s="27"/>
    </row>
    <row r="117" spans="9:10" x14ac:dyDescent="0.25">
      <c r="I117" s="26"/>
      <c r="J117" s="27"/>
    </row>
    <row r="118" spans="9:10" x14ac:dyDescent="0.25">
      <c r="I118" s="26"/>
      <c r="J118" s="27"/>
    </row>
    <row r="119" spans="9:10" x14ac:dyDescent="0.25">
      <c r="I119" s="26"/>
      <c r="J119" s="27"/>
    </row>
    <row r="120" spans="9:10" x14ac:dyDescent="0.25">
      <c r="I120" s="26"/>
      <c r="J120" s="27"/>
    </row>
    <row r="121" spans="9:10" x14ac:dyDescent="0.25">
      <c r="I121" s="26"/>
      <c r="J121" s="27"/>
    </row>
    <row r="122" spans="9:10" x14ac:dyDescent="0.25">
      <c r="I122" s="26"/>
      <c r="J122" s="27"/>
    </row>
    <row r="123" spans="9:10" x14ac:dyDescent="0.25">
      <c r="I123" s="26"/>
      <c r="J123" s="27"/>
    </row>
    <row r="124" spans="9:10" x14ac:dyDescent="0.25">
      <c r="I124" s="26"/>
      <c r="J124" s="27"/>
    </row>
    <row r="125" spans="9:10" x14ac:dyDescent="0.25">
      <c r="I125" s="26"/>
      <c r="J125" s="27"/>
    </row>
    <row r="126" spans="9:10" x14ac:dyDescent="0.25">
      <c r="I126" s="26"/>
      <c r="J126" s="27"/>
    </row>
    <row r="127" spans="9:10" x14ac:dyDescent="0.25">
      <c r="I127" s="26"/>
      <c r="J127" s="27"/>
    </row>
    <row r="128" spans="9:10" x14ac:dyDescent="0.25">
      <c r="I128" s="26"/>
      <c r="J128" s="27"/>
    </row>
    <row r="129" spans="9:10" x14ac:dyDescent="0.25">
      <c r="I129" s="26"/>
      <c r="J129" s="27"/>
    </row>
    <row r="130" spans="9:10" x14ac:dyDescent="0.25">
      <c r="I130" s="26"/>
      <c r="J130" s="27"/>
    </row>
    <row r="131" spans="9:10" x14ac:dyDescent="0.25">
      <c r="I131" s="26"/>
      <c r="J131" s="27"/>
    </row>
    <row r="132" spans="9:10" x14ac:dyDescent="0.25">
      <c r="I132" s="26"/>
      <c r="J132" s="27"/>
    </row>
    <row r="133" spans="9:10" x14ac:dyDescent="0.25">
      <c r="I133" s="26"/>
      <c r="J133" s="27"/>
    </row>
    <row r="134" spans="9:10" x14ac:dyDescent="0.25">
      <c r="I134" s="26"/>
      <c r="J134" s="27"/>
    </row>
    <row r="135" spans="9:10" x14ac:dyDescent="0.25">
      <c r="I135" s="26"/>
      <c r="J135" s="27"/>
    </row>
    <row r="136" spans="9:10" x14ac:dyDescent="0.25">
      <c r="I136" s="26"/>
      <c r="J136" s="27"/>
    </row>
    <row r="137" spans="9:10" x14ac:dyDescent="0.25">
      <c r="I137" s="26"/>
      <c r="J137" s="27"/>
    </row>
    <row r="138" spans="9:10" x14ac:dyDescent="0.25">
      <c r="I138" s="26"/>
      <c r="J138" s="27"/>
    </row>
    <row r="139" spans="9:10" x14ac:dyDescent="0.25">
      <c r="I139" s="26"/>
      <c r="J139" s="27"/>
    </row>
    <row r="140" spans="9:10" x14ac:dyDescent="0.25">
      <c r="I140" s="26"/>
      <c r="J140" s="27"/>
    </row>
    <row r="141" spans="9:10" x14ac:dyDescent="0.25">
      <c r="I141" s="26"/>
      <c r="J141" s="27"/>
    </row>
    <row r="142" spans="9:10" x14ac:dyDescent="0.25">
      <c r="I142" s="26"/>
      <c r="J142" s="27"/>
    </row>
    <row r="143" spans="9:10" x14ac:dyDescent="0.25">
      <c r="I143" s="26"/>
      <c r="J143" s="27"/>
    </row>
    <row r="144" spans="9:10" x14ac:dyDescent="0.25">
      <c r="I144" s="26"/>
      <c r="J144" s="27"/>
    </row>
    <row r="145" spans="9:10" x14ac:dyDescent="0.25">
      <c r="I145" s="26"/>
      <c r="J145" s="27"/>
    </row>
    <row r="146" spans="9:10" x14ac:dyDescent="0.25">
      <c r="I146" s="26"/>
      <c r="J146" s="27"/>
    </row>
    <row r="147" spans="9:10" x14ac:dyDescent="0.25">
      <c r="I147" s="26"/>
      <c r="J147" s="27"/>
    </row>
    <row r="148" spans="9:10" x14ac:dyDescent="0.25">
      <c r="I148" s="26"/>
      <c r="J148" s="27"/>
    </row>
    <row r="149" spans="9:10" x14ac:dyDescent="0.25">
      <c r="I149" s="26"/>
      <c r="J149" s="27"/>
    </row>
    <row r="150" spans="9:10" x14ac:dyDescent="0.25">
      <c r="I150" s="26"/>
      <c r="J150" s="27"/>
    </row>
    <row r="151" spans="9:10" x14ac:dyDescent="0.25">
      <c r="I151" s="26"/>
      <c r="J151" s="27"/>
    </row>
    <row r="152" spans="9:10" x14ac:dyDescent="0.25">
      <c r="I152" s="26"/>
      <c r="J152" s="27"/>
    </row>
    <row r="153" spans="9:10" x14ac:dyDescent="0.25">
      <c r="I153" s="26"/>
      <c r="J153" s="27"/>
    </row>
    <row r="154" spans="9:10" x14ac:dyDescent="0.25">
      <c r="I154" s="26"/>
      <c r="J154" s="27"/>
    </row>
    <row r="155" spans="9:10" x14ac:dyDescent="0.25">
      <c r="I155" s="26"/>
      <c r="J155" s="27"/>
    </row>
    <row r="156" spans="9:10" x14ac:dyDescent="0.25">
      <c r="I156" s="26"/>
      <c r="J156" s="27"/>
    </row>
    <row r="157" spans="9:10" x14ac:dyDescent="0.25">
      <c r="I157" s="26"/>
      <c r="J157" s="27"/>
    </row>
    <row r="158" spans="9:10" x14ac:dyDescent="0.25">
      <c r="I158" s="26"/>
      <c r="J158" s="27"/>
    </row>
    <row r="159" spans="9:10" x14ac:dyDescent="0.25">
      <c r="I159" s="26"/>
      <c r="J159" s="27"/>
    </row>
    <row r="160" spans="9:10" x14ac:dyDescent="0.25">
      <c r="I160" s="26"/>
      <c r="J160" s="27"/>
    </row>
    <row r="161" spans="9:10" x14ac:dyDescent="0.25">
      <c r="I161" s="26"/>
      <c r="J161" s="27"/>
    </row>
  </sheetData>
  <hyperlinks>
    <hyperlink ref="G2" r:id="rId1" xr:uid="{ABEAF4CC-1C94-42AD-ABD1-170BA431AE4E}"/>
    <hyperlink ref="G6" r:id="rId2" xr:uid="{F696CA62-3F50-454A-8684-F15D2755CBAB}"/>
    <hyperlink ref="G7" r:id="rId3" xr:uid="{53A6A60B-A5FB-4B78-9C95-3986608FED5E}"/>
    <hyperlink ref="G9" r:id="rId4" xr:uid="{783E5915-B746-4000-8091-117B4BB62DE4}"/>
    <hyperlink ref="G10" r:id="rId5" xr:uid="{1D2B2B70-B77A-4661-890B-AFC844A21AB3}"/>
    <hyperlink ref="G13" r:id="rId6" xr:uid="{4DFC10E2-5A35-42F5-B85D-346AC97927C2}"/>
    <hyperlink ref="G15" r:id="rId7" xr:uid="{522F9437-612A-4144-A9A2-3C225F72C3F5}"/>
    <hyperlink ref="G16" r:id="rId8" xr:uid="{BEC91B8E-99F2-44AC-9EE7-789FB598960B}"/>
    <hyperlink ref="G18" r:id="rId9" xr:uid="{CEBCD696-0107-4CCA-8DA3-EF9D4B19281F}"/>
    <hyperlink ref="G21" r:id="rId10" xr:uid="{D39BE843-2C06-4DAC-9A41-8D44EEE0B750}"/>
    <hyperlink ref="G19" r:id="rId11" xr:uid="{EC0B2D72-75B0-4A4F-8B55-76D88F9F2617}"/>
    <hyperlink ref="G24" r:id="rId12" xr:uid="{42467848-FF45-4F89-8FED-06B64F9C9242}"/>
    <hyperlink ref="G22" r:id="rId13" xr:uid="{95E3226C-E8E5-4883-97D9-38D17CEBE553}"/>
    <hyperlink ref="G25" r:id="rId14" xr:uid="{547D3B3F-BB93-418A-88BE-2C734BC31E48}"/>
    <hyperlink ref="G26" r:id="rId15" xr:uid="{A50838A6-C51F-469B-B4B5-32FA136A8A0C}"/>
    <hyperlink ref="G28" r:id="rId16" xr:uid="{3A013C40-2154-4092-AD60-AFE21884D828}"/>
    <hyperlink ref="G30" r:id="rId17" xr:uid="{95540706-2CCE-4EE1-99DD-BE81F1171E45}"/>
    <hyperlink ref="G31" r:id="rId18" xr:uid="{5B6EE4D4-234F-4287-89D0-D4ABF2A5883A}"/>
    <hyperlink ref="G32" r:id="rId19" xr:uid="{9CC97106-8B60-45A6-B5BB-A4CBE6740755}"/>
    <hyperlink ref="G37" r:id="rId20" xr:uid="{3E77BF29-7383-410E-BF99-894EA4916646}"/>
    <hyperlink ref="G38" r:id="rId21" xr:uid="{A280100E-4C58-4B28-8F38-7CBC47E84F9B}"/>
    <hyperlink ref="G39" r:id="rId22" xr:uid="{FE153BAF-7809-4AA5-B9AC-535370BF1E1A}"/>
    <hyperlink ref="G41" r:id="rId23" xr:uid="{72ACB18A-B87F-4677-897B-5F31576A8C4E}"/>
    <hyperlink ref="G42" r:id="rId24" xr:uid="{E86A755B-46A4-4C48-85A9-4B6A86DE6F19}"/>
    <hyperlink ref="G43" r:id="rId25" xr:uid="{80127244-2A5B-47AB-A47D-158AD581B597}"/>
    <hyperlink ref="G45" r:id="rId26" xr:uid="{90D377C7-D039-4A65-88E5-8BD212A65BAC}"/>
    <hyperlink ref="G4" r:id="rId27" xr:uid="{E7516B32-23EF-46B0-B513-F7AE0A0AE090}"/>
    <hyperlink ref="G3" r:id="rId28" xr:uid="{03250420-BCD0-4AF6-BA6E-515BDF9F3701}"/>
    <hyperlink ref="G8" r:id="rId29" xr:uid="{5DE630B3-7275-46A6-BED9-C3655C5F7AF7}"/>
    <hyperlink ref="G11" r:id="rId30" xr:uid="{F4039110-CCC6-4952-996D-80F3906C007D}"/>
    <hyperlink ref="G12" r:id="rId31" xr:uid="{7CD23341-CF7D-4AA0-A278-D6FE0D58B89B}"/>
    <hyperlink ref="G14" r:id="rId32" xr:uid="{9219663A-7902-4ACD-A71D-A55D0FCD0FD4}"/>
    <hyperlink ref="G17" r:id="rId33" xr:uid="{B462C05D-3089-4516-BDCB-546994711134}"/>
    <hyperlink ref="G20" r:id="rId34" xr:uid="{350E00FE-27C3-4ED9-9D32-308F1E4F7E55}"/>
    <hyperlink ref="G23" r:id="rId35" xr:uid="{B19963E4-9312-4A4B-B20B-DF36DA1AFCC0}"/>
    <hyperlink ref="G29" r:id="rId36" xr:uid="{65E80CC2-F8D8-4ED1-8665-D89277D6654B}"/>
    <hyperlink ref="G27" r:id="rId37" xr:uid="{3CD0DAE6-F459-432F-A111-3CEE35B95B8C}"/>
    <hyperlink ref="G33" r:id="rId38" xr:uid="{F9EF4C6C-F229-468A-B53B-551DA0562DF0}"/>
    <hyperlink ref="G34" r:id="rId39" xr:uid="{99642859-D3B3-4794-A43D-F8BE064FA7B6}"/>
    <hyperlink ref="G35" r:id="rId40" xr:uid="{06046F56-DC61-443F-AE04-8F1D18406D22}"/>
    <hyperlink ref="G36" r:id="rId41" xr:uid="{7AA868F1-AEE3-4B2D-8037-4D259F7612A0}"/>
    <hyperlink ref="G40" r:id="rId42" xr:uid="{302F2A3E-05FE-46AF-9494-263904AB07AF}"/>
    <hyperlink ref="G44" r:id="rId43" xr:uid="{4E8C3FE1-BEDB-4C1C-A6A6-718C4ED2B69B}"/>
    <hyperlink ref="G46" r:id="rId44" xr:uid="{0B30BBA1-5F30-4188-A7E3-5C116743EED7}"/>
    <hyperlink ref="G47" r:id="rId45" xr:uid="{026C9F75-A41D-4B34-A47C-AD2EC22D56E9}"/>
    <hyperlink ref="G5" r:id="rId46" xr:uid="{C9AD712A-A118-4590-827F-83CE4BEE5B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CE2A-0840-4EF1-A97B-E59BFB2106A6}">
  <dimension ref="A2:S129"/>
  <sheetViews>
    <sheetView zoomScale="85" zoomScaleNormal="85" workbookViewId="0">
      <selection activeCell="H63" sqref="H63"/>
    </sheetView>
  </sheetViews>
  <sheetFormatPr baseColWidth="10" defaultRowHeight="15" x14ac:dyDescent="0.25"/>
  <cols>
    <col min="1" max="1" width="10.5703125" bestFit="1" customWidth="1"/>
    <col min="2" max="2" width="9.85546875" bestFit="1" customWidth="1"/>
    <col min="3" max="3" width="18.42578125" bestFit="1" customWidth="1"/>
    <col min="4" max="4" width="19.140625" bestFit="1" customWidth="1"/>
    <col min="5" max="5" width="19.7109375" bestFit="1" customWidth="1"/>
    <col min="6" max="7" width="28.5703125" bestFit="1" customWidth="1"/>
    <col min="8" max="8" width="11.140625" bestFit="1" customWidth="1"/>
    <col min="9" max="9" width="26.7109375" bestFit="1" customWidth="1"/>
    <col min="10" max="10" width="14.28515625" bestFit="1" customWidth="1"/>
    <col min="11" max="11" width="18.42578125" bestFit="1" customWidth="1"/>
    <col min="12" max="12" width="19.140625" bestFit="1" customWidth="1"/>
    <col min="13" max="14" width="19.140625" customWidth="1"/>
    <col min="15" max="15" width="19.7109375" bestFit="1" customWidth="1"/>
    <col min="16" max="16" width="14.28515625" bestFit="1" customWidth="1"/>
    <col min="17" max="17" width="28.5703125" bestFit="1" customWidth="1"/>
    <col min="18" max="18" width="13" bestFit="1" customWidth="1"/>
    <col min="19" max="19" width="16.5703125" bestFit="1" customWidth="1"/>
  </cols>
  <sheetData>
    <row r="2" spans="1:19" x14ac:dyDescent="0.25">
      <c r="A2" s="57" t="s">
        <v>477</v>
      </c>
      <c r="B2" s="58"/>
      <c r="C2" s="58"/>
      <c r="D2" s="58"/>
      <c r="E2" s="58"/>
      <c r="F2" s="58"/>
      <c r="G2" s="58"/>
      <c r="H2" s="59"/>
      <c r="J2" s="71" t="s">
        <v>435</v>
      </c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35" t="s">
        <v>509</v>
      </c>
      <c r="B3" s="34" t="s">
        <v>1</v>
      </c>
      <c r="C3" s="34" t="s">
        <v>81</v>
      </c>
      <c r="D3" s="34" t="s">
        <v>82</v>
      </c>
      <c r="E3" s="34" t="s">
        <v>307</v>
      </c>
      <c r="F3" s="34" t="s">
        <v>84</v>
      </c>
      <c r="G3" s="34" t="s">
        <v>308</v>
      </c>
      <c r="H3" s="34" t="s">
        <v>3</v>
      </c>
      <c r="J3" s="33" t="s">
        <v>466</v>
      </c>
      <c r="K3" s="33" t="s">
        <v>75</v>
      </c>
      <c r="L3" s="33" t="s">
        <v>388</v>
      </c>
      <c r="M3" s="33" t="s">
        <v>387</v>
      </c>
      <c r="N3" s="33" t="s">
        <v>389</v>
      </c>
      <c r="O3" s="33" t="s">
        <v>0</v>
      </c>
      <c r="P3" s="33" t="s">
        <v>79</v>
      </c>
      <c r="Q3" s="33" t="s">
        <v>80</v>
      </c>
      <c r="R3" s="33" t="s">
        <v>2</v>
      </c>
      <c r="S3" s="33" t="s">
        <v>83</v>
      </c>
    </row>
    <row r="4" spans="1:19" x14ac:dyDescent="0.25">
      <c r="A4" s="1" t="s">
        <v>478</v>
      </c>
      <c r="B4" s="1">
        <v>2</v>
      </c>
      <c r="C4" s="1" t="s">
        <v>55</v>
      </c>
      <c r="D4" s="1" t="s">
        <v>12</v>
      </c>
      <c r="E4" s="1" t="s">
        <v>5</v>
      </c>
      <c r="F4" s="32">
        <v>20000</v>
      </c>
      <c r="G4" s="32">
        <v>2500</v>
      </c>
      <c r="H4" s="32">
        <v>68000</v>
      </c>
      <c r="J4" s="1" t="s">
        <v>436</v>
      </c>
      <c r="K4" s="31" t="s">
        <v>328</v>
      </c>
      <c r="L4" s="31" t="s">
        <v>329</v>
      </c>
      <c r="M4" s="1" t="s">
        <v>386</v>
      </c>
      <c r="N4" s="1">
        <v>1001234567</v>
      </c>
      <c r="O4" s="2">
        <v>37330</v>
      </c>
      <c r="P4" s="1">
        <v>3004567891</v>
      </c>
      <c r="Q4" s="3" t="s">
        <v>103</v>
      </c>
      <c r="R4" s="1" t="s">
        <v>473</v>
      </c>
      <c r="S4" s="1" t="s">
        <v>7</v>
      </c>
    </row>
    <row r="5" spans="1:19" x14ac:dyDescent="0.25">
      <c r="A5" s="1" t="s">
        <v>478</v>
      </c>
      <c r="B5" s="1">
        <v>1</v>
      </c>
      <c r="C5" s="1" t="s">
        <v>390</v>
      </c>
      <c r="D5" s="1" t="s">
        <v>9</v>
      </c>
      <c r="E5" s="1" t="s">
        <v>265</v>
      </c>
      <c r="F5" s="32">
        <v>22000</v>
      </c>
      <c r="G5" s="32">
        <v>1000</v>
      </c>
      <c r="H5" s="32">
        <v>68000</v>
      </c>
      <c r="J5" s="1" t="s">
        <v>437</v>
      </c>
      <c r="K5" s="31" t="s">
        <v>330</v>
      </c>
      <c r="L5" s="31" t="s">
        <v>331</v>
      </c>
      <c r="M5" s="1" t="s">
        <v>386</v>
      </c>
      <c r="N5" s="1">
        <v>1002345678</v>
      </c>
      <c r="O5" s="2">
        <v>37094</v>
      </c>
      <c r="P5" s="1">
        <v>3015678902</v>
      </c>
      <c r="Q5" s="3" t="s">
        <v>104</v>
      </c>
      <c r="R5" s="1" t="s">
        <v>6</v>
      </c>
      <c r="S5" s="1" t="s">
        <v>10</v>
      </c>
    </row>
    <row r="6" spans="1:19" x14ac:dyDescent="0.25">
      <c r="A6" s="1" t="s">
        <v>479</v>
      </c>
      <c r="B6" s="1">
        <v>1</v>
      </c>
      <c r="C6" s="1" t="s">
        <v>8</v>
      </c>
      <c r="D6" s="1" t="s">
        <v>9</v>
      </c>
      <c r="E6" s="1" t="s">
        <v>295</v>
      </c>
      <c r="F6" s="32">
        <v>26000</v>
      </c>
      <c r="G6" s="32">
        <v>2000</v>
      </c>
      <c r="H6" s="32">
        <f>SUM(F6,G6)*B6</f>
        <v>28000</v>
      </c>
      <c r="J6" s="1" t="s">
        <v>438</v>
      </c>
      <c r="K6" s="31" t="s">
        <v>332</v>
      </c>
      <c r="L6" s="31" t="s">
        <v>333</v>
      </c>
      <c r="M6" s="1" t="s">
        <v>386</v>
      </c>
      <c r="N6" s="1">
        <v>1003456789</v>
      </c>
      <c r="O6" s="2">
        <v>37933</v>
      </c>
      <c r="P6" s="1">
        <v>3026789013</v>
      </c>
      <c r="Q6" s="3" t="s">
        <v>510</v>
      </c>
      <c r="R6" s="1" t="s">
        <v>6</v>
      </c>
      <c r="S6" s="1" t="s">
        <v>13</v>
      </c>
    </row>
    <row r="7" spans="1:19" x14ac:dyDescent="0.25">
      <c r="A7" s="1" t="s">
        <v>480</v>
      </c>
      <c r="B7" s="1">
        <v>3</v>
      </c>
      <c r="C7" s="1" t="s">
        <v>11</v>
      </c>
      <c r="D7" s="1" t="s">
        <v>12</v>
      </c>
      <c r="E7" s="1" t="s">
        <v>295</v>
      </c>
      <c r="F7" s="32">
        <v>20000</v>
      </c>
      <c r="G7" s="32">
        <v>2000</v>
      </c>
      <c r="H7" s="32">
        <f>SUM(F7,G7)*B7</f>
        <v>66000</v>
      </c>
      <c r="J7" s="1" t="s">
        <v>439</v>
      </c>
      <c r="K7" s="31" t="s">
        <v>334</v>
      </c>
      <c r="L7" s="31" t="s">
        <v>335</v>
      </c>
      <c r="M7" s="1" t="s">
        <v>386</v>
      </c>
      <c r="N7" s="1">
        <v>1004567890</v>
      </c>
      <c r="O7" s="2">
        <v>36544</v>
      </c>
      <c r="P7" s="1">
        <v>3037890124</v>
      </c>
      <c r="Q7" s="3" t="s">
        <v>105</v>
      </c>
      <c r="R7" s="1" t="s">
        <v>6</v>
      </c>
      <c r="S7" s="1" t="s">
        <v>15</v>
      </c>
    </row>
    <row r="8" spans="1:19" x14ac:dyDescent="0.25">
      <c r="A8" s="1" t="s">
        <v>481</v>
      </c>
      <c r="B8" s="1">
        <v>1</v>
      </c>
      <c r="C8" s="1" t="s">
        <v>60</v>
      </c>
      <c r="D8" s="1" t="s">
        <v>9</v>
      </c>
      <c r="E8" s="1" t="s">
        <v>273</v>
      </c>
      <c r="F8" s="32">
        <v>22000</v>
      </c>
      <c r="G8" s="32">
        <v>1500</v>
      </c>
      <c r="H8" s="32">
        <f>SUM(F8,G8)*B8</f>
        <v>23500</v>
      </c>
      <c r="J8" s="1" t="s">
        <v>440</v>
      </c>
      <c r="K8" s="31" t="s">
        <v>336</v>
      </c>
      <c r="L8" s="31" t="s">
        <v>337</v>
      </c>
      <c r="M8" s="1" t="s">
        <v>386</v>
      </c>
      <c r="N8" s="1">
        <v>1005678901</v>
      </c>
      <c r="O8" s="2">
        <v>37406</v>
      </c>
      <c r="P8" s="1">
        <v>3048901235</v>
      </c>
      <c r="Q8" s="3" t="s">
        <v>106</v>
      </c>
      <c r="R8" s="1" t="s">
        <v>6</v>
      </c>
      <c r="S8" s="1" t="s">
        <v>17</v>
      </c>
    </row>
    <row r="9" spans="1:19" x14ac:dyDescent="0.25">
      <c r="A9" s="1" t="s">
        <v>482</v>
      </c>
      <c r="B9" s="1">
        <v>2</v>
      </c>
      <c r="C9" s="1" t="s">
        <v>391</v>
      </c>
      <c r="D9" s="1" t="s">
        <v>12</v>
      </c>
      <c r="E9" s="1" t="s">
        <v>393</v>
      </c>
      <c r="F9" s="32">
        <v>23000</v>
      </c>
      <c r="G9" s="32">
        <v>1500</v>
      </c>
      <c r="H9" s="32">
        <v>70000</v>
      </c>
      <c r="J9" s="1" t="s">
        <v>441</v>
      </c>
      <c r="K9" s="31" t="s">
        <v>338</v>
      </c>
      <c r="L9" s="31" t="s">
        <v>339</v>
      </c>
      <c r="M9" s="1" t="s">
        <v>386</v>
      </c>
      <c r="N9" s="1">
        <v>1006789012</v>
      </c>
      <c r="O9" s="2">
        <v>37146</v>
      </c>
      <c r="P9" s="1">
        <v>3059012346</v>
      </c>
      <c r="Q9" s="3" t="s">
        <v>107</v>
      </c>
      <c r="R9" s="1" t="s">
        <v>6</v>
      </c>
      <c r="S9" s="1" t="s">
        <v>19</v>
      </c>
    </row>
    <row r="10" spans="1:19" x14ac:dyDescent="0.25">
      <c r="A10" s="1" t="s">
        <v>482</v>
      </c>
      <c r="B10" s="1">
        <v>1</v>
      </c>
      <c r="C10" s="1" t="s">
        <v>392</v>
      </c>
      <c r="D10" s="1" t="s">
        <v>9</v>
      </c>
      <c r="E10" s="1" t="s">
        <v>25</v>
      </c>
      <c r="F10" s="32">
        <v>19000</v>
      </c>
      <c r="G10" s="32">
        <v>2000</v>
      </c>
      <c r="H10" s="32">
        <v>70000</v>
      </c>
      <c r="J10" s="1" t="s">
        <v>442</v>
      </c>
      <c r="K10" s="31" t="s">
        <v>340</v>
      </c>
      <c r="L10" s="31" t="s">
        <v>341</v>
      </c>
      <c r="M10" s="1" t="s">
        <v>386</v>
      </c>
      <c r="N10" s="1">
        <v>1007890123</v>
      </c>
      <c r="O10" s="2">
        <v>37980</v>
      </c>
      <c r="P10" s="1">
        <v>3060123457</v>
      </c>
      <c r="Q10" s="3" t="s">
        <v>108</v>
      </c>
      <c r="R10" s="1" t="s">
        <v>6</v>
      </c>
      <c r="S10" s="1" t="s">
        <v>21</v>
      </c>
    </row>
    <row r="11" spans="1:19" x14ac:dyDescent="0.25">
      <c r="A11" s="1" t="s">
        <v>483</v>
      </c>
      <c r="B11" s="1">
        <v>1</v>
      </c>
      <c r="C11" s="1" t="s">
        <v>18</v>
      </c>
      <c r="D11" s="1" t="s">
        <v>9</v>
      </c>
      <c r="E11" s="1" t="s">
        <v>266</v>
      </c>
      <c r="F11" s="32">
        <v>28000</v>
      </c>
      <c r="G11" s="32">
        <v>2000</v>
      </c>
      <c r="H11" s="32">
        <f>SUM(F11,G11)*B11</f>
        <v>30000</v>
      </c>
      <c r="J11" s="1" t="s">
        <v>443</v>
      </c>
      <c r="K11" s="31" t="s">
        <v>342</v>
      </c>
      <c r="L11" s="31" t="s">
        <v>343</v>
      </c>
      <c r="M11" s="1" t="s">
        <v>386</v>
      </c>
      <c r="N11" s="1">
        <v>1008901234</v>
      </c>
      <c r="O11" s="2">
        <v>37290</v>
      </c>
      <c r="P11" s="1">
        <v>3071234568</v>
      </c>
      <c r="Q11" s="3" t="s">
        <v>109</v>
      </c>
      <c r="R11" s="1" t="s">
        <v>6</v>
      </c>
      <c r="S11" s="1" t="s">
        <v>23</v>
      </c>
    </row>
    <row r="12" spans="1:19" x14ac:dyDescent="0.25">
      <c r="A12" s="1" t="s">
        <v>484</v>
      </c>
      <c r="B12" s="22">
        <v>2</v>
      </c>
      <c r="C12" s="1" t="s">
        <v>394</v>
      </c>
      <c r="D12" s="1" t="s">
        <v>9</v>
      </c>
      <c r="E12" s="1" t="s">
        <v>271</v>
      </c>
      <c r="F12" s="32">
        <v>23000</v>
      </c>
      <c r="G12" s="32">
        <v>1500</v>
      </c>
      <c r="H12" s="32">
        <v>120000</v>
      </c>
      <c r="J12" s="1" t="s">
        <v>444</v>
      </c>
      <c r="K12" s="31" t="s">
        <v>344</v>
      </c>
      <c r="L12" s="31" t="s">
        <v>345</v>
      </c>
      <c r="M12" s="1" t="s">
        <v>386</v>
      </c>
      <c r="N12" s="1">
        <v>1009012345</v>
      </c>
      <c r="O12" s="2">
        <v>36694</v>
      </c>
      <c r="P12" s="1">
        <v>3082345679</v>
      </c>
      <c r="Q12" s="3" t="s">
        <v>110</v>
      </c>
      <c r="R12" s="1" t="s">
        <v>473</v>
      </c>
      <c r="S12" s="1" t="s">
        <v>26</v>
      </c>
    </row>
    <row r="13" spans="1:19" x14ac:dyDescent="0.25">
      <c r="A13" s="1" t="s">
        <v>484</v>
      </c>
      <c r="B13" s="22">
        <v>2</v>
      </c>
      <c r="C13" s="1" t="s">
        <v>395</v>
      </c>
      <c r="D13" s="1" t="s">
        <v>12</v>
      </c>
      <c r="E13" s="1" t="s">
        <v>16</v>
      </c>
      <c r="F13" s="32">
        <v>23000</v>
      </c>
      <c r="G13" s="32">
        <v>1500</v>
      </c>
      <c r="H13" s="32">
        <v>120000</v>
      </c>
      <c r="J13" s="1" t="s">
        <v>445</v>
      </c>
      <c r="K13" s="31" t="s">
        <v>346</v>
      </c>
      <c r="L13" s="31" t="s">
        <v>347</v>
      </c>
      <c r="M13" s="1" t="s">
        <v>386</v>
      </c>
      <c r="N13" s="1">
        <v>1010123456</v>
      </c>
      <c r="O13" s="2">
        <v>37922</v>
      </c>
      <c r="P13" s="1">
        <v>3093456780</v>
      </c>
      <c r="Q13" s="3" t="s">
        <v>111</v>
      </c>
      <c r="R13" s="1" t="s">
        <v>6</v>
      </c>
      <c r="S13" s="1" t="s">
        <v>29</v>
      </c>
    </row>
    <row r="14" spans="1:19" x14ac:dyDescent="0.25">
      <c r="A14" s="1" t="s">
        <v>484</v>
      </c>
      <c r="B14" s="22">
        <v>2</v>
      </c>
      <c r="C14" s="1" t="s">
        <v>18</v>
      </c>
      <c r="D14" s="1" t="s">
        <v>31</v>
      </c>
      <c r="E14" s="1" t="s">
        <v>295</v>
      </c>
      <c r="F14" s="32">
        <v>20000</v>
      </c>
      <c r="G14" s="32">
        <v>2000</v>
      </c>
      <c r="H14" s="32">
        <v>120000</v>
      </c>
      <c r="J14" s="1" t="s">
        <v>446</v>
      </c>
      <c r="K14" s="31" t="s">
        <v>348</v>
      </c>
      <c r="L14" s="31" t="s">
        <v>349</v>
      </c>
      <c r="M14" s="1" t="s">
        <v>386</v>
      </c>
      <c r="N14" s="1">
        <v>1011234567</v>
      </c>
      <c r="O14" s="2">
        <v>36992</v>
      </c>
      <c r="P14" s="1">
        <v>3104567891</v>
      </c>
      <c r="Q14" s="3" t="s">
        <v>30</v>
      </c>
      <c r="R14" s="1" t="s">
        <v>6</v>
      </c>
      <c r="S14" s="1" t="s">
        <v>32</v>
      </c>
    </row>
    <row r="15" spans="1:19" x14ac:dyDescent="0.25">
      <c r="A15" s="1" t="s">
        <v>485</v>
      </c>
      <c r="B15" s="1">
        <v>1</v>
      </c>
      <c r="C15" s="1" t="s">
        <v>396</v>
      </c>
      <c r="D15" s="1" t="s">
        <v>12</v>
      </c>
      <c r="E15" s="1" t="s">
        <v>273</v>
      </c>
      <c r="F15" s="32">
        <v>14000</v>
      </c>
      <c r="G15" s="32">
        <v>1500</v>
      </c>
      <c r="H15" s="32">
        <v>30500</v>
      </c>
      <c r="J15" s="1" t="s">
        <v>447</v>
      </c>
      <c r="K15" s="31" t="s">
        <v>350</v>
      </c>
      <c r="L15" s="31" t="s">
        <v>351</v>
      </c>
      <c r="M15" s="1" t="s">
        <v>386</v>
      </c>
      <c r="N15" s="1">
        <v>1012345678</v>
      </c>
      <c r="O15" s="2">
        <v>37474</v>
      </c>
      <c r="P15" s="1">
        <v>3115678902</v>
      </c>
      <c r="Q15" s="3" t="s">
        <v>151</v>
      </c>
      <c r="R15" s="1" t="s">
        <v>6</v>
      </c>
      <c r="S15" s="1" t="s">
        <v>33</v>
      </c>
    </row>
    <row r="16" spans="1:19" x14ac:dyDescent="0.25">
      <c r="A16" s="1" t="s">
        <v>485</v>
      </c>
      <c r="B16" s="1">
        <v>1</v>
      </c>
      <c r="C16" s="1" t="s">
        <v>397</v>
      </c>
      <c r="D16" s="1" t="s">
        <v>12</v>
      </c>
      <c r="E16" s="1" t="s">
        <v>272</v>
      </c>
      <c r="F16" s="32">
        <v>14000</v>
      </c>
      <c r="G16" s="32">
        <v>1000</v>
      </c>
      <c r="H16" s="32">
        <v>30500</v>
      </c>
      <c r="J16" s="1" t="s">
        <v>448</v>
      </c>
      <c r="K16" s="31" t="s">
        <v>352</v>
      </c>
      <c r="L16" s="31" t="s">
        <v>353</v>
      </c>
      <c r="M16" s="1" t="s">
        <v>386</v>
      </c>
      <c r="N16" s="1">
        <v>1013456789</v>
      </c>
      <c r="O16" s="2">
        <v>38009</v>
      </c>
      <c r="P16" s="1">
        <v>3126789013</v>
      </c>
      <c r="Q16" s="3" t="s">
        <v>34</v>
      </c>
      <c r="R16" s="1" t="s">
        <v>6</v>
      </c>
      <c r="S16" s="1" t="s">
        <v>35</v>
      </c>
    </row>
    <row r="17" spans="1:19" x14ac:dyDescent="0.25">
      <c r="A17" s="1" t="s">
        <v>486</v>
      </c>
      <c r="B17" s="1">
        <v>3</v>
      </c>
      <c r="C17" s="1" t="s">
        <v>24</v>
      </c>
      <c r="D17" s="1" t="s">
        <v>9</v>
      </c>
      <c r="E17" s="1" t="s">
        <v>265</v>
      </c>
      <c r="F17" s="32">
        <v>25000</v>
      </c>
      <c r="G17" s="32">
        <v>1000</v>
      </c>
      <c r="H17" s="32">
        <f>SUM(F17,G17)*B17</f>
        <v>78000</v>
      </c>
      <c r="J17" s="1" t="s">
        <v>449</v>
      </c>
      <c r="K17" s="31" t="s">
        <v>354</v>
      </c>
      <c r="L17" s="31" t="s">
        <v>345</v>
      </c>
      <c r="M17" s="1" t="s">
        <v>386</v>
      </c>
      <c r="N17" s="1">
        <v>1014567890</v>
      </c>
      <c r="O17" s="2">
        <v>37025</v>
      </c>
      <c r="P17" s="1">
        <v>3137890124</v>
      </c>
      <c r="Q17" s="3" t="s">
        <v>36</v>
      </c>
      <c r="R17" s="1" t="s">
        <v>6</v>
      </c>
      <c r="S17" s="1" t="s">
        <v>37</v>
      </c>
    </row>
    <row r="18" spans="1:19" x14ac:dyDescent="0.25">
      <c r="A18" s="1" t="s">
        <v>487</v>
      </c>
      <c r="B18" s="1">
        <v>2</v>
      </c>
      <c r="C18" s="1" t="s">
        <v>27</v>
      </c>
      <c r="D18" s="1" t="s">
        <v>12</v>
      </c>
      <c r="E18" s="1" t="s">
        <v>20</v>
      </c>
      <c r="F18" s="32">
        <v>15000</v>
      </c>
      <c r="G18" s="32">
        <v>1500</v>
      </c>
      <c r="H18" s="32">
        <v>49000</v>
      </c>
      <c r="J18" s="1" t="s">
        <v>450</v>
      </c>
      <c r="K18" s="31" t="s">
        <v>355</v>
      </c>
      <c r="L18" s="31" t="s">
        <v>356</v>
      </c>
      <c r="M18" s="1" t="s">
        <v>386</v>
      </c>
      <c r="N18" s="1">
        <v>1015678901</v>
      </c>
      <c r="O18" s="2">
        <v>37903</v>
      </c>
      <c r="P18" s="1">
        <v>3148901235</v>
      </c>
      <c r="Q18" s="3" t="s">
        <v>38</v>
      </c>
      <c r="R18" s="1" t="s">
        <v>6</v>
      </c>
      <c r="S18" s="1" t="s">
        <v>40</v>
      </c>
    </row>
    <row r="19" spans="1:19" x14ac:dyDescent="0.25">
      <c r="A19" s="1" t="s">
        <v>487</v>
      </c>
      <c r="B19" s="1">
        <v>1</v>
      </c>
      <c r="C19" s="1" t="s">
        <v>114</v>
      </c>
      <c r="D19" s="1" t="s">
        <v>31</v>
      </c>
      <c r="E19" s="1" t="s">
        <v>268</v>
      </c>
      <c r="F19" s="32">
        <v>15000</v>
      </c>
      <c r="G19" s="32">
        <v>1000</v>
      </c>
      <c r="H19" s="32">
        <v>49000</v>
      </c>
      <c r="J19" s="1" t="s">
        <v>451</v>
      </c>
      <c r="K19" s="31" t="s">
        <v>357</v>
      </c>
      <c r="L19" s="31" t="s">
        <v>358</v>
      </c>
      <c r="M19" s="1" t="s">
        <v>467</v>
      </c>
      <c r="N19" s="1">
        <v>1016789012</v>
      </c>
      <c r="O19" s="2">
        <v>36583</v>
      </c>
      <c r="P19" s="1">
        <v>3159012346</v>
      </c>
      <c r="Q19" s="3" t="s">
        <v>41</v>
      </c>
      <c r="R19" s="1" t="s">
        <v>6</v>
      </c>
      <c r="S19" s="1" t="s">
        <v>43</v>
      </c>
    </row>
    <row r="20" spans="1:19" x14ac:dyDescent="0.25">
      <c r="A20" s="1" t="s">
        <v>488</v>
      </c>
      <c r="B20" s="1">
        <v>1</v>
      </c>
      <c r="C20" s="1" t="s">
        <v>114</v>
      </c>
      <c r="D20" s="1" t="s">
        <v>31</v>
      </c>
      <c r="E20" s="1" t="s">
        <v>20</v>
      </c>
      <c r="F20" s="32">
        <v>15000</v>
      </c>
      <c r="G20" s="32">
        <v>1500</v>
      </c>
      <c r="H20" s="32">
        <f>SUM(F20,G20)*B20</f>
        <v>16500</v>
      </c>
      <c r="J20" s="1" t="s">
        <v>452</v>
      </c>
      <c r="K20" s="31" t="s">
        <v>359</v>
      </c>
      <c r="L20" s="31" t="s">
        <v>360</v>
      </c>
      <c r="M20" s="1" t="s">
        <v>386</v>
      </c>
      <c r="N20" s="1">
        <v>1017890123</v>
      </c>
      <c r="O20" s="2">
        <v>37608</v>
      </c>
      <c r="P20" s="1">
        <v>3160123457</v>
      </c>
      <c r="Q20" s="3" t="s">
        <v>44</v>
      </c>
      <c r="R20" s="1" t="s">
        <v>6</v>
      </c>
      <c r="S20" s="1" t="s">
        <v>46</v>
      </c>
    </row>
    <row r="21" spans="1:19" x14ac:dyDescent="0.25">
      <c r="A21" s="1" t="s">
        <v>489</v>
      </c>
      <c r="B21" s="1">
        <v>2</v>
      </c>
      <c r="C21" s="1" t="s">
        <v>398</v>
      </c>
      <c r="D21" s="1" t="s">
        <v>9</v>
      </c>
      <c r="E21" s="1" t="s">
        <v>272</v>
      </c>
      <c r="F21" s="32">
        <v>17000</v>
      </c>
      <c r="G21" s="32">
        <v>1000</v>
      </c>
      <c r="H21" s="32">
        <v>99000</v>
      </c>
      <c r="J21" s="1" t="s">
        <v>453</v>
      </c>
      <c r="K21" s="31" t="s">
        <v>361</v>
      </c>
      <c r="L21" s="31" t="s">
        <v>362</v>
      </c>
      <c r="M21" s="1" t="s">
        <v>386</v>
      </c>
      <c r="N21" s="1">
        <v>1018901234</v>
      </c>
      <c r="O21" s="2">
        <v>37047</v>
      </c>
      <c r="P21" s="1">
        <v>3171234568</v>
      </c>
      <c r="Q21" s="3" t="s">
        <v>278</v>
      </c>
      <c r="R21" s="1" t="s">
        <v>6</v>
      </c>
      <c r="S21" s="1" t="s">
        <v>47</v>
      </c>
    </row>
    <row r="22" spans="1:19" x14ac:dyDescent="0.25">
      <c r="A22" s="1" t="s">
        <v>489</v>
      </c>
      <c r="B22" s="1">
        <v>3</v>
      </c>
      <c r="C22" s="1" t="s">
        <v>400</v>
      </c>
      <c r="D22" s="1" t="s">
        <v>12</v>
      </c>
      <c r="E22" s="1" t="s">
        <v>399</v>
      </c>
      <c r="F22" s="32">
        <v>20000</v>
      </c>
      <c r="G22" s="32">
        <v>1000</v>
      </c>
      <c r="H22" s="32">
        <v>99000</v>
      </c>
      <c r="J22" s="1" t="s">
        <v>454</v>
      </c>
      <c r="K22" s="31" t="s">
        <v>363</v>
      </c>
      <c r="L22" s="31" t="s">
        <v>364</v>
      </c>
      <c r="M22" s="1" t="s">
        <v>386</v>
      </c>
      <c r="N22" s="1">
        <v>1019012345</v>
      </c>
      <c r="O22" s="2">
        <v>37885</v>
      </c>
      <c r="P22" s="1">
        <v>3182345679</v>
      </c>
      <c r="Q22" s="3" t="s">
        <v>48</v>
      </c>
      <c r="R22" s="1" t="s">
        <v>6</v>
      </c>
      <c r="S22" s="1" t="s">
        <v>50</v>
      </c>
    </row>
    <row r="23" spans="1:19" x14ac:dyDescent="0.25">
      <c r="A23" s="1" t="s">
        <v>490</v>
      </c>
      <c r="B23" s="1">
        <v>1</v>
      </c>
      <c r="C23" s="1" t="s">
        <v>119</v>
      </c>
      <c r="D23" s="1" t="s">
        <v>12</v>
      </c>
      <c r="E23" s="1" t="s">
        <v>14</v>
      </c>
      <c r="F23" s="32">
        <v>25000</v>
      </c>
      <c r="G23" s="32">
        <v>1500</v>
      </c>
      <c r="H23" s="32">
        <f>SUM(F23,G23)*B23</f>
        <v>26500</v>
      </c>
      <c r="J23" s="1" t="s">
        <v>455</v>
      </c>
      <c r="K23" s="31" t="s">
        <v>365</v>
      </c>
      <c r="L23" s="31" t="s">
        <v>366</v>
      </c>
      <c r="M23" s="1" t="s">
        <v>386</v>
      </c>
      <c r="N23" s="1">
        <v>1020123456</v>
      </c>
      <c r="O23" s="2">
        <v>37331</v>
      </c>
      <c r="P23" s="1">
        <v>3193456780</v>
      </c>
      <c r="Q23" s="3" t="s">
        <v>51</v>
      </c>
      <c r="R23" s="1" t="s">
        <v>6</v>
      </c>
      <c r="S23" s="1" t="s">
        <v>53</v>
      </c>
    </row>
    <row r="24" spans="1:19" x14ac:dyDescent="0.25">
      <c r="A24" s="1" t="s">
        <v>491</v>
      </c>
      <c r="B24" s="1">
        <v>3</v>
      </c>
      <c r="C24" s="1" t="s">
        <v>401</v>
      </c>
      <c r="D24" s="1" t="s">
        <v>9</v>
      </c>
      <c r="E24" s="1" t="s">
        <v>393</v>
      </c>
      <c r="F24" s="32">
        <v>19000</v>
      </c>
      <c r="G24" s="32">
        <v>1500</v>
      </c>
      <c r="H24" s="32">
        <v>173500</v>
      </c>
      <c r="J24" s="1" t="s">
        <v>456</v>
      </c>
      <c r="K24" s="31" t="s">
        <v>338</v>
      </c>
      <c r="L24" s="31" t="s">
        <v>367</v>
      </c>
      <c r="M24" s="1" t="s">
        <v>386</v>
      </c>
      <c r="N24" s="1">
        <v>1021234567</v>
      </c>
      <c r="O24" s="2">
        <v>36736</v>
      </c>
      <c r="P24" s="1">
        <v>3005678901</v>
      </c>
      <c r="Q24" s="3" t="s">
        <v>54</v>
      </c>
      <c r="R24" s="1" t="s">
        <v>6</v>
      </c>
      <c r="S24" s="1" t="s">
        <v>56</v>
      </c>
    </row>
    <row r="25" spans="1:19" x14ac:dyDescent="0.25">
      <c r="A25" s="1" t="s">
        <v>491</v>
      </c>
      <c r="B25" s="1">
        <v>4</v>
      </c>
      <c r="C25" s="1" t="s">
        <v>402</v>
      </c>
      <c r="D25" s="1" t="s">
        <v>9</v>
      </c>
      <c r="E25" s="1" t="s">
        <v>25</v>
      </c>
      <c r="F25" s="32">
        <v>26000</v>
      </c>
      <c r="G25" s="32">
        <v>2000</v>
      </c>
      <c r="H25" s="32">
        <v>173500</v>
      </c>
      <c r="J25" s="1" t="s">
        <v>457</v>
      </c>
      <c r="K25" s="31" t="s">
        <v>368</v>
      </c>
      <c r="L25" s="31" t="s">
        <v>369</v>
      </c>
      <c r="M25" s="1" t="s">
        <v>386</v>
      </c>
      <c r="N25" s="1">
        <v>1022345678</v>
      </c>
      <c r="O25" s="2">
        <v>37205</v>
      </c>
      <c r="P25" s="1">
        <v>3016789012</v>
      </c>
      <c r="Q25" s="3" t="s">
        <v>57</v>
      </c>
      <c r="R25" s="1" t="s">
        <v>6</v>
      </c>
      <c r="S25" s="1" t="s">
        <v>58</v>
      </c>
    </row>
    <row r="26" spans="1:19" x14ac:dyDescent="0.25">
      <c r="A26" s="1" t="s">
        <v>492</v>
      </c>
      <c r="B26" s="1">
        <v>2</v>
      </c>
      <c r="C26" s="1" t="s">
        <v>39</v>
      </c>
      <c r="D26" s="1" t="s">
        <v>12</v>
      </c>
      <c r="E26" s="1" t="s">
        <v>20</v>
      </c>
      <c r="F26" s="32">
        <v>14000</v>
      </c>
      <c r="G26" s="32">
        <v>1500</v>
      </c>
      <c r="H26" s="32">
        <f>SUM(F26,G26)*B26</f>
        <v>31000</v>
      </c>
      <c r="J26" s="1" t="s">
        <v>458</v>
      </c>
      <c r="K26" s="31" t="s">
        <v>370</v>
      </c>
      <c r="L26" s="31" t="s">
        <v>371</v>
      </c>
      <c r="M26" s="1" t="s">
        <v>386</v>
      </c>
      <c r="N26" s="1">
        <v>1023456789</v>
      </c>
      <c r="O26" s="2">
        <v>37735</v>
      </c>
      <c r="P26" s="1">
        <v>3027890123</v>
      </c>
      <c r="Q26" s="3" t="s">
        <v>59</v>
      </c>
      <c r="R26" s="1" t="s">
        <v>6</v>
      </c>
      <c r="S26" s="1" t="s">
        <v>61</v>
      </c>
    </row>
    <row r="27" spans="1:19" x14ac:dyDescent="0.25">
      <c r="A27" s="1" t="s">
        <v>493</v>
      </c>
      <c r="B27" s="1">
        <v>1</v>
      </c>
      <c r="C27" s="1" t="s">
        <v>42</v>
      </c>
      <c r="D27" s="1" t="s">
        <v>9</v>
      </c>
      <c r="E27" s="1" t="s">
        <v>16</v>
      </c>
      <c r="F27" s="32">
        <v>18000</v>
      </c>
      <c r="G27" s="32">
        <v>1500</v>
      </c>
      <c r="H27" s="32">
        <f>SUM(F27,G27)*B27</f>
        <v>19500</v>
      </c>
      <c r="J27" s="1" t="s">
        <v>459</v>
      </c>
      <c r="K27" s="31" t="s">
        <v>372</v>
      </c>
      <c r="L27" s="31" t="s">
        <v>373</v>
      </c>
      <c r="M27" s="1" t="s">
        <v>386</v>
      </c>
      <c r="N27" s="1">
        <v>1024567890</v>
      </c>
      <c r="O27" s="2">
        <v>37263</v>
      </c>
      <c r="P27" s="1">
        <v>3038901234</v>
      </c>
      <c r="Q27" s="3" t="s">
        <v>62</v>
      </c>
      <c r="R27" s="1" t="s">
        <v>6</v>
      </c>
      <c r="S27" s="1" t="s">
        <v>63</v>
      </c>
    </row>
    <row r="28" spans="1:19" x14ac:dyDescent="0.25">
      <c r="A28" s="1" t="s">
        <v>494</v>
      </c>
      <c r="B28" s="1">
        <v>2</v>
      </c>
      <c r="C28" s="1" t="s">
        <v>45</v>
      </c>
      <c r="D28" s="1" t="s">
        <v>12</v>
      </c>
      <c r="E28" s="1" t="s">
        <v>28</v>
      </c>
      <c r="F28" s="32">
        <v>16000</v>
      </c>
      <c r="G28" s="32">
        <v>1500</v>
      </c>
      <c r="H28" s="32">
        <f>SUM(F28,G28)*B28</f>
        <v>35000</v>
      </c>
      <c r="J28" s="1" t="s">
        <v>460</v>
      </c>
      <c r="K28" s="31" t="s">
        <v>374</v>
      </c>
      <c r="L28" s="31" t="s">
        <v>375</v>
      </c>
      <c r="M28" s="1" t="s">
        <v>467</v>
      </c>
      <c r="N28" s="1">
        <v>1025678901</v>
      </c>
      <c r="O28" s="2">
        <v>36751</v>
      </c>
      <c r="P28" s="1">
        <v>3049012345</v>
      </c>
      <c r="Q28" s="3" t="s">
        <v>64</v>
      </c>
      <c r="R28" s="1" t="s">
        <v>6</v>
      </c>
      <c r="S28" s="1" t="s">
        <v>65</v>
      </c>
    </row>
    <row r="29" spans="1:19" x14ac:dyDescent="0.25">
      <c r="A29" s="1" t="s">
        <v>495</v>
      </c>
      <c r="B29" s="1">
        <v>1</v>
      </c>
      <c r="C29" s="1" t="s">
        <v>398</v>
      </c>
      <c r="D29" s="1" t="s">
        <v>9</v>
      </c>
      <c r="E29" s="1" t="s">
        <v>22</v>
      </c>
      <c r="F29" s="32">
        <v>17000</v>
      </c>
      <c r="G29" s="32">
        <v>2000</v>
      </c>
      <c r="H29" s="32">
        <v>52000</v>
      </c>
      <c r="J29" s="1" t="s">
        <v>461</v>
      </c>
      <c r="K29" s="31" t="s">
        <v>376</v>
      </c>
      <c r="L29" s="31" t="s">
        <v>377</v>
      </c>
      <c r="M29" s="1" t="s">
        <v>386</v>
      </c>
      <c r="N29" s="1">
        <v>1026789012</v>
      </c>
      <c r="O29" s="2">
        <v>37767</v>
      </c>
      <c r="P29" s="1">
        <v>3050123456</v>
      </c>
      <c r="Q29" s="3" t="s">
        <v>66</v>
      </c>
      <c r="R29" s="1" t="s">
        <v>6</v>
      </c>
      <c r="S29" s="1" t="s">
        <v>67</v>
      </c>
    </row>
    <row r="30" spans="1:19" x14ac:dyDescent="0.25">
      <c r="A30" s="1" t="s">
        <v>496</v>
      </c>
      <c r="B30" s="1">
        <v>2</v>
      </c>
      <c r="C30" s="1" t="s">
        <v>403</v>
      </c>
      <c r="D30" s="1" t="s">
        <v>31</v>
      </c>
      <c r="E30" s="1" t="s">
        <v>273</v>
      </c>
      <c r="F30" s="32">
        <v>15000</v>
      </c>
      <c r="G30" s="32">
        <v>1500</v>
      </c>
      <c r="H30" s="32">
        <v>52000</v>
      </c>
      <c r="J30" s="1" t="s">
        <v>462</v>
      </c>
      <c r="K30" s="31" t="s">
        <v>378</v>
      </c>
      <c r="L30" s="31" t="s">
        <v>379</v>
      </c>
      <c r="M30" s="1" t="s">
        <v>386</v>
      </c>
      <c r="N30" s="1">
        <v>1027890123</v>
      </c>
      <c r="O30" s="2">
        <v>37227</v>
      </c>
      <c r="P30" s="1">
        <v>3061234567</v>
      </c>
      <c r="Q30" s="3" t="s">
        <v>68</v>
      </c>
      <c r="R30" s="1" t="s">
        <v>6</v>
      </c>
      <c r="S30" s="1" t="s">
        <v>69</v>
      </c>
    </row>
    <row r="31" spans="1:19" x14ac:dyDescent="0.25">
      <c r="A31" s="1" t="s">
        <v>497</v>
      </c>
      <c r="B31" s="1">
        <v>2</v>
      </c>
      <c r="C31" s="1" t="s">
        <v>49</v>
      </c>
      <c r="D31" s="1" t="s">
        <v>9</v>
      </c>
      <c r="E31" s="23" t="s">
        <v>265</v>
      </c>
      <c r="F31" s="32">
        <v>23000</v>
      </c>
      <c r="G31" s="32">
        <v>1000</v>
      </c>
      <c r="H31" s="32">
        <f>SUM(F31,G31)*B31</f>
        <v>48000</v>
      </c>
      <c r="J31" s="1" t="s">
        <v>463</v>
      </c>
      <c r="K31" s="31" t="s">
        <v>380</v>
      </c>
      <c r="L31" s="31" t="s">
        <v>381</v>
      </c>
      <c r="M31" s="1" t="s">
        <v>386</v>
      </c>
      <c r="N31" s="1">
        <v>1028901234</v>
      </c>
      <c r="O31" s="2">
        <v>38158</v>
      </c>
      <c r="P31" s="1">
        <v>3072345678</v>
      </c>
      <c r="Q31" s="3" t="s">
        <v>70</v>
      </c>
      <c r="R31" s="1" t="s">
        <v>473</v>
      </c>
      <c r="S31" s="1" t="s">
        <v>71</v>
      </c>
    </row>
    <row r="32" spans="1:19" x14ac:dyDescent="0.25">
      <c r="A32" s="1" t="s">
        <v>498</v>
      </c>
      <c r="B32" s="1">
        <v>1</v>
      </c>
      <c r="C32" s="1" t="s">
        <v>52</v>
      </c>
      <c r="D32" s="1" t="s">
        <v>12</v>
      </c>
      <c r="E32" s="1" t="s">
        <v>266</v>
      </c>
      <c r="F32" s="32">
        <v>14000</v>
      </c>
      <c r="G32" s="32">
        <v>2000</v>
      </c>
      <c r="H32" s="32">
        <f>SUM(F32,G32)*B32</f>
        <v>16000</v>
      </c>
      <c r="J32" s="1" t="s">
        <v>464</v>
      </c>
      <c r="K32" s="31" t="s">
        <v>382</v>
      </c>
      <c r="L32" s="31" t="s">
        <v>383</v>
      </c>
      <c r="M32" s="1" t="s">
        <v>386</v>
      </c>
      <c r="N32" s="1">
        <v>1029012345</v>
      </c>
      <c r="O32" s="2">
        <v>37560</v>
      </c>
      <c r="P32" s="1">
        <v>3083456789</v>
      </c>
      <c r="Q32" s="3" t="s">
        <v>72</v>
      </c>
      <c r="R32" s="1" t="s">
        <v>6</v>
      </c>
      <c r="S32" s="1" t="s">
        <v>73</v>
      </c>
    </row>
    <row r="33" spans="1:19" x14ac:dyDescent="0.25">
      <c r="A33" s="1" t="s">
        <v>499</v>
      </c>
      <c r="B33" s="1">
        <v>3</v>
      </c>
      <c r="C33" s="1" t="s">
        <v>55</v>
      </c>
      <c r="D33" s="1" t="s">
        <v>9</v>
      </c>
      <c r="E33" s="1" t="s">
        <v>303</v>
      </c>
      <c r="F33" s="32">
        <v>23000</v>
      </c>
      <c r="G33" s="32">
        <v>1500</v>
      </c>
      <c r="H33" s="32">
        <f>SUM(F33,G33)*B33</f>
        <v>73500</v>
      </c>
      <c r="J33" s="1" t="s">
        <v>465</v>
      </c>
      <c r="K33" s="31" t="s">
        <v>384</v>
      </c>
      <c r="L33" s="31" t="s">
        <v>385</v>
      </c>
      <c r="M33" s="1" t="s">
        <v>467</v>
      </c>
      <c r="N33" s="1">
        <v>1030123456</v>
      </c>
      <c r="O33" s="2">
        <v>36931</v>
      </c>
      <c r="P33" s="1">
        <v>3094567890</v>
      </c>
      <c r="Q33" s="3" t="s">
        <v>511</v>
      </c>
      <c r="R33" s="1" t="s">
        <v>6</v>
      </c>
      <c r="S33" s="1" t="s">
        <v>74</v>
      </c>
    </row>
    <row r="34" spans="1:19" x14ac:dyDescent="0.25">
      <c r="A34" s="1" t="s">
        <v>500</v>
      </c>
      <c r="B34" s="22">
        <v>2</v>
      </c>
      <c r="C34" s="1" t="s">
        <v>391</v>
      </c>
      <c r="D34" s="1" t="s">
        <v>9</v>
      </c>
      <c r="E34" s="1" t="s">
        <v>268</v>
      </c>
      <c r="F34" s="32">
        <v>25000</v>
      </c>
      <c r="G34" s="32">
        <v>1000</v>
      </c>
      <c r="H34" s="32">
        <v>311000</v>
      </c>
    </row>
    <row r="35" spans="1:19" x14ac:dyDescent="0.25">
      <c r="A35" s="1" t="s">
        <v>500</v>
      </c>
      <c r="B35" s="22">
        <v>3</v>
      </c>
      <c r="C35" s="1" t="s">
        <v>392</v>
      </c>
      <c r="D35" s="1" t="s">
        <v>12</v>
      </c>
      <c r="E35" s="1" t="s">
        <v>22</v>
      </c>
      <c r="F35" s="32">
        <v>17000</v>
      </c>
      <c r="G35" s="32">
        <v>2000</v>
      </c>
      <c r="H35" s="32">
        <v>311000</v>
      </c>
    </row>
    <row r="36" spans="1:19" x14ac:dyDescent="0.25">
      <c r="A36" s="1" t="s">
        <v>500</v>
      </c>
      <c r="B36" s="22">
        <v>4</v>
      </c>
      <c r="C36" s="1" t="s">
        <v>39</v>
      </c>
      <c r="D36" s="1" t="s">
        <v>12</v>
      </c>
      <c r="E36" s="1" t="s">
        <v>393</v>
      </c>
      <c r="F36" s="32">
        <v>14000</v>
      </c>
      <c r="G36" s="32">
        <v>1500</v>
      </c>
      <c r="H36" s="32">
        <v>311000</v>
      </c>
    </row>
    <row r="37" spans="1:19" x14ac:dyDescent="0.25">
      <c r="A37" s="1" t="s">
        <v>500</v>
      </c>
      <c r="B37" s="22">
        <v>7</v>
      </c>
      <c r="C37" s="1" t="s">
        <v>404</v>
      </c>
      <c r="D37" s="1" t="s">
        <v>31</v>
      </c>
      <c r="E37" s="1" t="s">
        <v>295</v>
      </c>
      <c r="F37" s="32">
        <v>15000</v>
      </c>
      <c r="G37" s="32">
        <v>2000</v>
      </c>
      <c r="H37" s="32">
        <v>311000</v>
      </c>
    </row>
    <row r="38" spans="1:19" x14ac:dyDescent="0.25">
      <c r="A38" s="1" t="s">
        <v>500</v>
      </c>
      <c r="B38" s="22">
        <v>1</v>
      </c>
      <c r="C38" s="1" t="s">
        <v>402</v>
      </c>
      <c r="D38" s="1" t="s">
        <v>31</v>
      </c>
      <c r="E38" s="1" t="s">
        <v>265</v>
      </c>
      <c r="F38" s="32">
        <v>20000</v>
      </c>
      <c r="G38" s="32">
        <v>1000</v>
      </c>
      <c r="H38" s="32">
        <v>311000</v>
      </c>
      <c r="J38" s="70"/>
      <c r="K38" s="70"/>
      <c r="L38" s="70"/>
      <c r="M38" s="36"/>
      <c r="N38" s="36"/>
    </row>
    <row r="39" spans="1:19" x14ac:dyDescent="0.25">
      <c r="A39" s="1" t="s">
        <v>501</v>
      </c>
      <c r="B39" s="1">
        <v>1</v>
      </c>
      <c r="C39" s="1" t="s">
        <v>60</v>
      </c>
      <c r="D39" s="1" t="s">
        <v>12</v>
      </c>
      <c r="E39" s="1" t="s">
        <v>273</v>
      </c>
      <c r="F39" s="32">
        <v>16000</v>
      </c>
      <c r="G39" s="32">
        <v>1500</v>
      </c>
      <c r="H39" s="32">
        <f>SUM(F39,G39)*B39</f>
        <v>17500</v>
      </c>
      <c r="M39" s="38"/>
      <c r="N39" s="38"/>
    </row>
    <row r="40" spans="1:19" x14ac:dyDescent="0.25">
      <c r="A40" s="1" t="s">
        <v>502</v>
      </c>
      <c r="B40" s="1">
        <v>2</v>
      </c>
      <c r="C40" s="1" t="s">
        <v>18</v>
      </c>
      <c r="D40" s="1" t="s">
        <v>9</v>
      </c>
      <c r="E40" s="1" t="s">
        <v>20</v>
      </c>
      <c r="F40" s="32">
        <v>28000</v>
      </c>
      <c r="G40" s="32">
        <v>1500</v>
      </c>
      <c r="H40" s="32">
        <f>SUM(F40,G40)*B40</f>
        <v>59000</v>
      </c>
    </row>
    <row r="41" spans="1:19" x14ac:dyDescent="0.25">
      <c r="A41" s="1" t="s">
        <v>503</v>
      </c>
      <c r="B41" s="1">
        <v>1</v>
      </c>
      <c r="C41" s="1" t="s">
        <v>405</v>
      </c>
      <c r="D41" s="1" t="s">
        <v>12</v>
      </c>
      <c r="E41" s="1" t="s">
        <v>406</v>
      </c>
      <c r="F41" s="32">
        <v>20000</v>
      </c>
      <c r="G41" s="32">
        <v>2000</v>
      </c>
      <c r="H41" s="32">
        <v>88000</v>
      </c>
    </row>
    <row r="42" spans="1:19" x14ac:dyDescent="0.25">
      <c r="A42" s="1" t="s">
        <v>503</v>
      </c>
      <c r="B42" s="1">
        <v>3</v>
      </c>
      <c r="C42" s="1" t="s">
        <v>400</v>
      </c>
      <c r="D42" s="1" t="s">
        <v>12</v>
      </c>
      <c r="E42" s="1" t="s">
        <v>25</v>
      </c>
      <c r="F42" s="32">
        <v>20000</v>
      </c>
      <c r="G42" s="32">
        <v>2000</v>
      </c>
      <c r="H42" s="32">
        <v>88000</v>
      </c>
    </row>
    <row r="43" spans="1:19" x14ac:dyDescent="0.25">
      <c r="A43" s="1" t="s">
        <v>504</v>
      </c>
      <c r="B43" s="1">
        <v>3</v>
      </c>
      <c r="C43" s="1" t="s">
        <v>27</v>
      </c>
      <c r="D43" s="1" t="s">
        <v>9</v>
      </c>
      <c r="E43" s="1" t="s">
        <v>273</v>
      </c>
      <c r="F43" s="32">
        <v>17000</v>
      </c>
      <c r="G43" s="32">
        <v>1500</v>
      </c>
      <c r="H43" s="32">
        <f>SUM(F43,G43)*B43</f>
        <v>55500</v>
      </c>
    </row>
    <row r="44" spans="1:19" x14ac:dyDescent="0.25">
      <c r="A44" s="1" t="s">
        <v>505</v>
      </c>
      <c r="B44" s="1">
        <v>2</v>
      </c>
      <c r="C44" s="1" t="s">
        <v>119</v>
      </c>
      <c r="D44" s="1" t="s">
        <v>9</v>
      </c>
      <c r="E44" s="1" t="s">
        <v>5</v>
      </c>
      <c r="F44" s="32">
        <v>30000</v>
      </c>
      <c r="G44" s="32">
        <v>2500</v>
      </c>
      <c r="H44" s="32">
        <f>SUM(F44,G44)*B44</f>
        <v>65000</v>
      </c>
    </row>
    <row r="45" spans="1:19" x14ac:dyDescent="0.25">
      <c r="A45" s="1" t="s">
        <v>506</v>
      </c>
      <c r="B45" s="1">
        <v>1</v>
      </c>
      <c r="C45" s="1" t="s">
        <v>401</v>
      </c>
      <c r="D45" s="1" t="s">
        <v>12</v>
      </c>
      <c r="E45" s="1" t="s">
        <v>5</v>
      </c>
      <c r="F45" s="32">
        <v>17000</v>
      </c>
      <c r="G45" s="32">
        <v>2500</v>
      </c>
      <c r="H45" s="32">
        <v>35500</v>
      </c>
    </row>
    <row r="46" spans="1:19" x14ac:dyDescent="0.25">
      <c r="A46" s="1" t="s">
        <v>506</v>
      </c>
      <c r="B46" s="1">
        <v>1</v>
      </c>
      <c r="C46" s="1" t="s">
        <v>407</v>
      </c>
      <c r="D46" s="1" t="s">
        <v>31</v>
      </c>
      <c r="E46" s="1" t="s">
        <v>265</v>
      </c>
      <c r="F46" s="32">
        <v>15000</v>
      </c>
      <c r="G46" s="32">
        <v>1000</v>
      </c>
      <c r="H46" s="32">
        <v>35500</v>
      </c>
    </row>
    <row r="47" spans="1:19" x14ac:dyDescent="0.25">
      <c r="A47" s="1" t="s">
        <v>507</v>
      </c>
      <c r="B47" s="1">
        <v>2</v>
      </c>
      <c r="C47" s="1" t="s">
        <v>42</v>
      </c>
      <c r="D47" s="1" t="s">
        <v>9</v>
      </c>
      <c r="E47" s="1" t="s">
        <v>266</v>
      </c>
      <c r="F47" s="32">
        <v>18000</v>
      </c>
      <c r="G47" s="32">
        <v>2000</v>
      </c>
      <c r="H47" s="32">
        <v>58000</v>
      </c>
    </row>
    <row r="48" spans="1:19" x14ac:dyDescent="0.25">
      <c r="A48" s="1" t="s">
        <v>507</v>
      </c>
      <c r="B48" s="1">
        <v>1</v>
      </c>
      <c r="C48" s="1" t="s">
        <v>39</v>
      </c>
      <c r="D48" s="1" t="s">
        <v>9</v>
      </c>
      <c r="E48" s="1" t="s">
        <v>14</v>
      </c>
      <c r="F48" s="32">
        <v>16000</v>
      </c>
      <c r="G48" s="32">
        <v>2000</v>
      </c>
      <c r="H48" s="32">
        <v>58000</v>
      </c>
    </row>
    <row r="49" spans="1:9" x14ac:dyDescent="0.25">
      <c r="A49" s="1" t="s">
        <v>508</v>
      </c>
      <c r="B49" s="1">
        <v>1</v>
      </c>
      <c r="C49" s="1" t="s">
        <v>11</v>
      </c>
      <c r="D49" s="1" t="s">
        <v>9</v>
      </c>
      <c r="E49" s="1" t="s">
        <v>266</v>
      </c>
      <c r="F49" s="32">
        <v>25000</v>
      </c>
      <c r="G49" s="32">
        <v>2000</v>
      </c>
      <c r="H49" s="32">
        <f>SUM(F49,G49)*B49</f>
        <v>27000</v>
      </c>
    </row>
    <row r="51" spans="1:9" x14ac:dyDescent="0.25">
      <c r="I51" s="26"/>
    </row>
    <row r="52" spans="1:9" x14ac:dyDescent="0.25">
      <c r="I52" s="26"/>
    </row>
    <row r="53" spans="1:9" x14ac:dyDescent="0.25">
      <c r="I53" s="26"/>
    </row>
    <row r="54" spans="1:9" x14ac:dyDescent="0.25">
      <c r="I54" s="26"/>
    </row>
    <row r="70" spans="10:10" x14ac:dyDescent="0.25">
      <c r="J70" s="27"/>
    </row>
    <row r="71" spans="10:10" x14ac:dyDescent="0.25">
      <c r="J71" s="27"/>
    </row>
    <row r="72" spans="10:10" x14ac:dyDescent="0.25">
      <c r="J72" s="27"/>
    </row>
    <row r="73" spans="10:10" x14ac:dyDescent="0.25">
      <c r="J73" s="27"/>
    </row>
    <row r="74" spans="10:10" x14ac:dyDescent="0.25">
      <c r="J74" s="27"/>
    </row>
    <row r="75" spans="10:10" x14ac:dyDescent="0.25">
      <c r="J75" s="27"/>
    </row>
    <row r="76" spans="10:10" x14ac:dyDescent="0.25">
      <c r="J76" s="27"/>
    </row>
    <row r="77" spans="10:10" x14ac:dyDescent="0.25">
      <c r="J77" s="27"/>
    </row>
    <row r="78" spans="10:10" x14ac:dyDescent="0.25">
      <c r="J78" s="27"/>
    </row>
    <row r="79" spans="10:10" x14ac:dyDescent="0.25">
      <c r="J79" s="27"/>
    </row>
    <row r="80" spans="10:10" x14ac:dyDescent="0.25">
      <c r="J80" s="27"/>
    </row>
    <row r="81" spans="9:10" x14ac:dyDescent="0.25">
      <c r="J81" s="27"/>
    </row>
    <row r="82" spans="9:10" x14ac:dyDescent="0.25">
      <c r="J82" s="27"/>
    </row>
    <row r="83" spans="9:10" x14ac:dyDescent="0.25">
      <c r="J83" s="27"/>
    </row>
    <row r="84" spans="9:10" x14ac:dyDescent="0.25">
      <c r="J84" s="27"/>
    </row>
    <row r="85" spans="9:10" x14ac:dyDescent="0.25">
      <c r="J85" s="27"/>
    </row>
    <row r="86" spans="9:10" x14ac:dyDescent="0.25">
      <c r="J86" s="27"/>
    </row>
    <row r="87" spans="9:10" x14ac:dyDescent="0.25">
      <c r="I87" s="26"/>
      <c r="J87" s="27"/>
    </row>
    <row r="88" spans="9:10" x14ac:dyDescent="0.25">
      <c r="I88" s="26"/>
      <c r="J88" s="27"/>
    </row>
    <row r="89" spans="9:10" x14ac:dyDescent="0.25">
      <c r="I89" s="26"/>
      <c r="J89" s="27"/>
    </row>
    <row r="90" spans="9:10" x14ac:dyDescent="0.25">
      <c r="I90" s="26"/>
      <c r="J90" s="27"/>
    </row>
    <row r="91" spans="9:10" x14ac:dyDescent="0.25">
      <c r="I91" s="26"/>
      <c r="J91" s="27"/>
    </row>
    <row r="92" spans="9:10" x14ac:dyDescent="0.25">
      <c r="I92" s="26"/>
      <c r="J92" s="27"/>
    </row>
    <row r="93" spans="9:10" x14ac:dyDescent="0.25">
      <c r="I93" s="26"/>
      <c r="J93" s="27"/>
    </row>
    <row r="94" spans="9:10" x14ac:dyDescent="0.25">
      <c r="I94" s="26"/>
      <c r="J94" s="27"/>
    </row>
    <row r="95" spans="9:10" x14ac:dyDescent="0.25">
      <c r="I95" s="26"/>
      <c r="J95" s="27"/>
    </row>
    <row r="96" spans="9:10" x14ac:dyDescent="0.25">
      <c r="I96" s="26"/>
      <c r="J96" s="27"/>
    </row>
    <row r="97" spans="9:10" x14ac:dyDescent="0.25">
      <c r="I97" s="26"/>
      <c r="J97" s="27"/>
    </row>
    <row r="98" spans="9:10" x14ac:dyDescent="0.25">
      <c r="I98" s="26"/>
      <c r="J98" s="27"/>
    </row>
    <row r="99" spans="9:10" x14ac:dyDescent="0.25">
      <c r="I99" s="26"/>
      <c r="J99" s="27"/>
    </row>
    <row r="100" spans="9:10" ht="15.75" customHeight="1" x14ac:dyDescent="0.25">
      <c r="I100" s="26"/>
      <c r="J100" s="27"/>
    </row>
    <row r="101" spans="9:10" x14ac:dyDescent="0.25">
      <c r="I101" s="26"/>
      <c r="J101" s="27"/>
    </row>
    <row r="102" spans="9:10" x14ac:dyDescent="0.25">
      <c r="I102" s="26"/>
      <c r="J102" s="27"/>
    </row>
    <row r="103" spans="9:10" x14ac:dyDescent="0.25">
      <c r="I103" s="26"/>
      <c r="J103" s="27"/>
    </row>
    <row r="104" spans="9:10" x14ac:dyDescent="0.25">
      <c r="I104" s="26"/>
      <c r="J104" s="27"/>
    </row>
    <row r="105" spans="9:10" x14ac:dyDescent="0.25">
      <c r="I105" s="26"/>
      <c r="J105" s="27"/>
    </row>
    <row r="106" spans="9:10" x14ac:dyDescent="0.25">
      <c r="I106" s="26"/>
      <c r="J106" s="27"/>
    </row>
    <row r="107" spans="9:10" x14ac:dyDescent="0.25">
      <c r="I107" s="26"/>
      <c r="J107" s="27"/>
    </row>
    <row r="108" spans="9:10" x14ac:dyDescent="0.25">
      <c r="I108" s="26"/>
      <c r="J108" s="27"/>
    </row>
    <row r="109" spans="9:10" x14ac:dyDescent="0.25">
      <c r="I109" s="26"/>
      <c r="J109" s="27"/>
    </row>
    <row r="110" spans="9:10" x14ac:dyDescent="0.25">
      <c r="I110" s="26"/>
      <c r="J110" s="27"/>
    </row>
    <row r="111" spans="9:10" x14ac:dyDescent="0.25">
      <c r="I111" s="26"/>
      <c r="J111" s="27"/>
    </row>
    <row r="112" spans="9:10" x14ac:dyDescent="0.25">
      <c r="I112" s="26"/>
      <c r="J112" s="27"/>
    </row>
    <row r="113" spans="9:10" x14ac:dyDescent="0.25">
      <c r="I113" s="26"/>
      <c r="J113" s="27"/>
    </row>
    <row r="114" spans="9:10" x14ac:dyDescent="0.25">
      <c r="I114" s="26"/>
      <c r="J114" s="27"/>
    </row>
    <row r="115" spans="9:10" x14ac:dyDescent="0.25">
      <c r="I115" s="26"/>
      <c r="J115" s="27"/>
    </row>
    <row r="116" spans="9:10" x14ac:dyDescent="0.25">
      <c r="I116" s="26"/>
      <c r="J116" s="27"/>
    </row>
    <row r="117" spans="9:10" x14ac:dyDescent="0.25">
      <c r="I117" s="26"/>
      <c r="J117" s="27"/>
    </row>
    <row r="118" spans="9:10" x14ac:dyDescent="0.25">
      <c r="I118" s="26"/>
      <c r="J118" s="27"/>
    </row>
    <row r="119" spans="9:10" x14ac:dyDescent="0.25">
      <c r="I119" s="26"/>
      <c r="J119" s="27"/>
    </row>
    <row r="120" spans="9:10" x14ac:dyDescent="0.25">
      <c r="I120" s="26"/>
      <c r="J120" s="27"/>
    </row>
    <row r="121" spans="9:10" x14ac:dyDescent="0.25">
      <c r="I121" s="26"/>
      <c r="J121" s="27"/>
    </row>
    <row r="122" spans="9:10" x14ac:dyDescent="0.25">
      <c r="I122" s="26"/>
      <c r="J122" s="27"/>
    </row>
    <row r="123" spans="9:10" x14ac:dyDescent="0.25">
      <c r="I123" s="26"/>
      <c r="J123" s="27"/>
    </row>
    <row r="124" spans="9:10" x14ac:dyDescent="0.25">
      <c r="I124" s="26"/>
      <c r="J124" s="27"/>
    </row>
    <row r="125" spans="9:10" x14ac:dyDescent="0.25">
      <c r="I125" s="26"/>
      <c r="J125" s="27"/>
    </row>
    <row r="126" spans="9:10" x14ac:dyDescent="0.25">
      <c r="I126" s="26"/>
      <c r="J126" s="27"/>
    </row>
    <row r="127" spans="9:10" x14ac:dyDescent="0.25">
      <c r="I127" s="26"/>
      <c r="J127" s="27"/>
    </row>
    <row r="128" spans="9:10" x14ac:dyDescent="0.25">
      <c r="I128" s="26"/>
      <c r="J128" s="27"/>
    </row>
    <row r="129" spans="9:10" x14ac:dyDescent="0.25">
      <c r="I129" s="26"/>
      <c r="J129" s="27"/>
    </row>
  </sheetData>
  <mergeCells count="3">
    <mergeCell ref="A2:H2"/>
    <mergeCell ref="J2:S2"/>
    <mergeCell ref="J38:L38"/>
  </mergeCells>
  <hyperlinks>
    <hyperlink ref="Q4" r:id="rId1" xr:uid="{7430C74C-AB05-4164-80B2-FD55DD0251EB}"/>
    <hyperlink ref="Q6" r:id="rId2" xr:uid="{7C4B110D-3E68-4D9A-BE65-81781924FF00}"/>
    <hyperlink ref="Q7" r:id="rId3" xr:uid="{26DD62B2-94E2-49BB-8BF2-DB13FF7D6778}"/>
    <hyperlink ref="Q9" r:id="rId4" xr:uid="{3BD83350-F5F8-401D-93E5-B58D7E050AA3}"/>
    <hyperlink ref="Q11" r:id="rId5" xr:uid="{27586DD5-6182-471C-881F-1EAA862F7A68}"/>
    <hyperlink ref="Q12" r:id="rId6" xr:uid="{CF2B44A7-A847-4696-9C21-8B6BDC161531}"/>
    <hyperlink ref="Q14" r:id="rId7" xr:uid="{503B4E98-4B06-4940-A191-BEC645FE059D}"/>
    <hyperlink ref="Q16" r:id="rId8" xr:uid="{C6D42DEE-3DB7-46DF-86CE-DF3E957673E9}"/>
    <hyperlink ref="Q5" r:id="rId9" xr:uid="{68229DD1-8104-4E3D-B7F7-7FDFC5928469}"/>
    <hyperlink ref="Q8" r:id="rId10" xr:uid="{3A005021-B78A-4920-A157-9CEE3932B510}"/>
    <hyperlink ref="Q10" r:id="rId11" xr:uid="{17EB66FE-8ACE-4105-881F-66A7AAE71986}"/>
    <hyperlink ref="Q13" r:id="rId12" xr:uid="{2AB7FE82-F396-473A-9830-0F4396FD1241}"/>
    <hyperlink ref="Q15" r:id="rId13" xr:uid="{5833E1EE-5484-40CD-AF3E-3042AEB9D3A6}"/>
    <hyperlink ref="Q17" r:id="rId14" xr:uid="{79DADC38-464F-4894-A91F-2A08B43127B3}"/>
    <hyperlink ref="Q32" r:id="rId15" xr:uid="{3FDCD0A5-2F7C-4E24-AA48-D380172A8F54}"/>
    <hyperlink ref="Q31" r:id="rId16" xr:uid="{E81D8521-757F-4B17-87C9-E40B1CA4AF4B}"/>
    <hyperlink ref="Q28" r:id="rId17" xr:uid="{322277D7-57E3-4B15-A868-28CD78F1866E}"/>
    <hyperlink ref="Q25" r:id="rId18" xr:uid="{D15E1053-B1F0-4B7F-8230-06F7F9872E9E}"/>
    <hyperlink ref="Q22" r:id="rId19" xr:uid="{9FA00AAE-4204-4178-BADF-D89300D84E48}"/>
    <hyperlink ref="Q33" r:id="rId20" xr:uid="{4CF8FC2B-199D-476D-889C-CF6E2B5CCC40}"/>
    <hyperlink ref="Q30" r:id="rId21" xr:uid="{AC21BD66-6558-4FF4-8457-F7096E2027AE}"/>
    <hyperlink ref="Q29" r:id="rId22" xr:uid="{1E14697D-062D-4A64-9A6F-7269367F30BF}"/>
    <hyperlink ref="Q27" r:id="rId23" xr:uid="{D87D9AA1-B4A1-4EED-B7C0-D992FF10E7EC}"/>
    <hyperlink ref="Q26" r:id="rId24" xr:uid="{18C4C119-7976-4758-8A0E-83BA3D8119C2}"/>
    <hyperlink ref="Q24" r:id="rId25" xr:uid="{E6A6D180-6DCC-42D5-BCCB-7F1B6687C3F2}"/>
    <hyperlink ref="Q23" r:id="rId26" xr:uid="{0B85F7B9-FD54-4213-A13C-CFE9785E55E9}"/>
    <hyperlink ref="Q21" r:id="rId27" xr:uid="{1B5F6C7C-94E4-4B5F-B399-9745503C486A}"/>
    <hyperlink ref="Q20" r:id="rId28" xr:uid="{E1BE13AF-5EC1-4200-9524-97D1C1FD189D}"/>
    <hyperlink ref="Q19" r:id="rId29" xr:uid="{C1CB3186-4EA8-45D9-9CF5-302A6F5CB4B7}"/>
    <hyperlink ref="Q18" r:id="rId30" xr:uid="{48A3EECD-F099-4726-8BE1-72AF0B829C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B0D6-CE2F-48A5-96EE-FF09BCFD4582}">
  <dimension ref="A2:U214"/>
  <sheetViews>
    <sheetView tabSelected="1" topLeftCell="G49" zoomScaleNormal="100" workbookViewId="0">
      <selection activeCell="N81" sqref="N81"/>
    </sheetView>
  </sheetViews>
  <sheetFormatPr baseColWidth="10" defaultRowHeight="15" x14ac:dyDescent="0.25"/>
  <cols>
    <col min="1" max="1" width="12.140625" bestFit="1" customWidth="1"/>
    <col min="2" max="2" width="37.42578125" bestFit="1" customWidth="1"/>
    <col min="3" max="3" width="28.42578125" bestFit="1" customWidth="1"/>
    <col min="4" max="4" width="19.140625" bestFit="1" customWidth="1"/>
    <col min="5" max="5" width="15.28515625" bestFit="1" customWidth="1"/>
    <col min="6" max="7" width="28.5703125" bestFit="1" customWidth="1"/>
    <col min="8" max="8" width="12.5703125" bestFit="1" customWidth="1"/>
    <col min="9" max="10" width="12.5703125" customWidth="1"/>
    <col min="11" max="11" width="12.140625" bestFit="1" customWidth="1"/>
    <col min="12" max="13" width="18.42578125" bestFit="1" customWidth="1"/>
    <col min="14" max="14" width="30.7109375" bestFit="1" customWidth="1"/>
    <col min="15" max="15" width="19.140625" customWidth="1"/>
    <col min="16" max="16" width="24" bestFit="1" customWidth="1"/>
    <col min="17" max="17" width="19.7109375" bestFit="1" customWidth="1"/>
    <col min="18" max="18" width="14.28515625" bestFit="1" customWidth="1"/>
    <col min="19" max="19" width="19.140625" bestFit="1" customWidth="1"/>
    <col min="20" max="20" width="13" bestFit="1" customWidth="1"/>
    <col min="21" max="21" width="18.7109375" bestFit="1" customWidth="1"/>
  </cols>
  <sheetData>
    <row r="2" spans="1:21" x14ac:dyDescent="0.25">
      <c r="A2" s="56" t="s">
        <v>477</v>
      </c>
      <c r="B2" s="56"/>
      <c r="C2" s="56"/>
      <c r="D2" s="56"/>
      <c r="E2" s="56"/>
      <c r="F2" s="56"/>
      <c r="G2" s="56"/>
      <c r="H2" s="56"/>
      <c r="I2" s="56"/>
      <c r="J2" s="56"/>
      <c r="L2" s="71" t="s">
        <v>435</v>
      </c>
      <c r="M2" s="71"/>
      <c r="N2" s="71"/>
      <c r="O2" s="71"/>
      <c r="P2" s="71"/>
      <c r="Q2" s="71"/>
      <c r="R2" s="71"/>
      <c r="S2" s="71"/>
      <c r="T2" s="71"/>
      <c r="U2" s="71"/>
    </row>
    <row r="3" spans="1:21" x14ac:dyDescent="0.25">
      <c r="A3" s="35" t="s">
        <v>509</v>
      </c>
      <c r="B3" s="34" t="s">
        <v>1</v>
      </c>
      <c r="C3" s="34" t="s">
        <v>524</v>
      </c>
      <c r="D3" s="34" t="s">
        <v>656</v>
      </c>
      <c r="E3" s="34" t="s">
        <v>636</v>
      </c>
      <c r="F3" s="34" t="s">
        <v>84</v>
      </c>
      <c r="G3" s="34" t="s">
        <v>308</v>
      </c>
      <c r="H3" s="34" t="s">
        <v>3</v>
      </c>
      <c r="I3" s="34" t="s">
        <v>686</v>
      </c>
      <c r="J3" s="49" t="s">
        <v>699</v>
      </c>
      <c r="L3" s="33" t="s">
        <v>466</v>
      </c>
      <c r="M3" s="33" t="s">
        <v>75</v>
      </c>
      <c r="N3" s="33" t="s">
        <v>388</v>
      </c>
      <c r="O3" s="33" t="s">
        <v>522</v>
      </c>
      <c r="P3" s="33" t="s">
        <v>389</v>
      </c>
      <c r="Q3" s="33" t="s">
        <v>0</v>
      </c>
      <c r="R3" s="33" t="s">
        <v>79</v>
      </c>
      <c r="S3" s="33" t="s">
        <v>513</v>
      </c>
      <c r="T3" s="33" t="s">
        <v>519</v>
      </c>
      <c r="U3" s="33" t="s">
        <v>83</v>
      </c>
    </row>
    <row r="4" spans="1:21" x14ac:dyDescent="0.25">
      <c r="A4" s="1" t="s">
        <v>478</v>
      </c>
      <c r="B4" s="1">
        <v>2</v>
      </c>
      <c r="C4" s="1" t="s">
        <v>526</v>
      </c>
      <c r="D4" s="1" t="s">
        <v>662</v>
      </c>
      <c r="E4" s="1" t="s">
        <v>640</v>
      </c>
      <c r="F4" s="32">
        <v>20000</v>
      </c>
      <c r="G4" s="32">
        <v>2500</v>
      </c>
      <c r="H4" s="32">
        <v>68000</v>
      </c>
      <c r="I4" s="1" t="s">
        <v>688</v>
      </c>
      <c r="J4" s="1" t="s">
        <v>701</v>
      </c>
      <c r="L4" s="1" t="s">
        <v>436</v>
      </c>
      <c r="M4" s="31" t="s">
        <v>328</v>
      </c>
      <c r="N4" s="31" t="s">
        <v>329</v>
      </c>
      <c r="O4" s="1" t="s">
        <v>471</v>
      </c>
      <c r="P4" s="1">
        <v>1001234567</v>
      </c>
      <c r="Q4" s="2">
        <v>37330</v>
      </c>
      <c r="R4" s="1">
        <v>3004567891</v>
      </c>
      <c r="S4" s="1" t="s">
        <v>518</v>
      </c>
      <c r="T4" s="1" t="s">
        <v>521</v>
      </c>
      <c r="U4" s="1" t="s">
        <v>7</v>
      </c>
    </row>
    <row r="5" spans="1:21" x14ac:dyDescent="0.25">
      <c r="A5" s="1" t="s">
        <v>478</v>
      </c>
      <c r="B5" s="1">
        <v>1</v>
      </c>
      <c r="C5" s="1" t="s">
        <v>539</v>
      </c>
      <c r="D5" s="1" t="s">
        <v>663</v>
      </c>
      <c r="E5" s="1" t="s">
        <v>641</v>
      </c>
      <c r="F5" s="32">
        <v>22000</v>
      </c>
      <c r="G5" s="32">
        <v>1000</v>
      </c>
      <c r="H5" s="32">
        <v>68000</v>
      </c>
      <c r="I5" s="1" t="s">
        <v>688</v>
      </c>
      <c r="J5" s="1" t="s">
        <v>701</v>
      </c>
      <c r="L5" s="1" t="s">
        <v>437</v>
      </c>
      <c r="M5" s="31" t="s">
        <v>330</v>
      </c>
      <c r="N5" s="31" t="s">
        <v>331</v>
      </c>
      <c r="O5" s="1" t="s">
        <v>471</v>
      </c>
      <c r="P5" s="1">
        <v>1002345678</v>
      </c>
      <c r="Q5" s="2">
        <v>37094</v>
      </c>
      <c r="R5" s="1">
        <v>3015678902</v>
      </c>
      <c r="S5" s="1" t="s">
        <v>518</v>
      </c>
      <c r="T5" s="1" t="s">
        <v>520</v>
      </c>
      <c r="U5" s="1" t="s">
        <v>10</v>
      </c>
    </row>
    <row r="6" spans="1:21" x14ac:dyDescent="0.25">
      <c r="A6" s="1" t="s">
        <v>479</v>
      </c>
      <c r="B6" s="1">
        <v>1</v>
      </c>
      <c r="C6" s="1" t="s">
        <v>530</v>
      </c>
      <c r="D6" s="1" t="s">
        <v>663</v>
      </c>
      <c r="E6" s="1" t="s">
        <v>650</v>
      </c>
      <c r="F6" s="32">
        <v>26000</v>
      </c>
      <c r="G6" s="32">
        <v>2000</v>
      </c>
      <c r="H6" s="32">
        <f>SUM(F6,G6)*B6</f>
        <v>28000</v>
      </c>
      <c r="I6" s="1" t="s">
        <v>694</v>
      </c>
      <c r="J6" s="1" t="s">
        <v>709</v>
      </c>
      <c r="L6" s="1" t="s">
        <v>438</v>
      </c>
      <c r="M6" s="31" t="s">
        <v>332</v>
      </c>
      <c r="N6" s="31" t="s">
        <v>333</v>
      </c>
      <c r="O6" s="1" t="s">
        <v>471</v>
      </c>
      <c r="P6" s="1">
        <v>1003456789</v>
      </c>
      <c r="Q6" s="2">
        <v>37933</v>
      </c>
      <c r="R6" s="1">
        <v>3026789013</v>
      </c>
      <c r="S6" s="1" t="s">
        <v>517</v>
      </c>
      <c r="T6" s="1" t="s">
        <v>520</v>
      </c>
      <c r="U6" s="1" t="s">
        <v>13</v>
      </c>
    </row>
    <row r="7" spans="1:21" x14ac:dyDescent="0.25">
      <c r="A7" s="1" t="s">
        <v>480</v>
      </c>
      <c r="B7" s="1">
        <v>3</v>
      </c>
      <c r="C7" s="1" t="s">
        <v>532</v>
      </c>
      <c r="D7" s="1" t="s">
        <v>662</v>
      </c>
      <c r="E7" s="1" t="s">
        <v>650</v>
      </c>
      <c r="F7" s="32">
        <v>20000</v>
      </c>
      <c r="G7" s="32">
        <v>2000</v>
      </c>
      <c r="H7" s="32">
        <f>SUM(F7,G7)*B7</f>
        <v>66000</v>
      </c>
      <c r="I7" s="1" t="s">
        <v>694</v>
      </c>
      <c r="J7" s="1" t="s">
        <v>707</v>
      </c>
      <c r="L7" s="1" t="s">
        <v>439</v>
      </c>
      <c r="M7" s="31" t="s">
        <v>334</v>
      </c>
      <c r="N7" s="31" t="s">
        <v>335</v>
      </c>
      <c r="O7" s="1" t="s">
        <v>471</v>
      </c>
      <c r="P7" s="1">
        <v>1004567890</v>
      </c>
      <c r="Q7" s="2">
        <v>36544</v>
      </c>
      <c r="R7" s="1">
        <v>3037890124</v>
      </c>
      <c r="S7" s="1" t="s">
        <v>518</v>
      </c>
      <c r="T7" s="1" t="s">
        <v>520</v>
      </c>
      <c r="U7" s="1" t="s">
        <v>15</v>
      </c>
    </row>
    <row r="8" spans="1:21" x14ac:dyDescent="0.25">
      <c r="A8" s="1" t="s">
        <v>481</v>
      </c>
      <c r="B8" s="1">
        <v>1</v>
      </c>
      <c r="C8" s="1" t="s">
        <v>542</v>
      </c>
      <c r="D8" s="1" t="s">
        <v>663</v>
      </c>
      <c r="E8" s="1" t="s">
        <v>655</v>
      </c>
      <c r="F8" s="32">
        <v>22000</v>
      </c>
      <c r="G8" s="32">
        <v>1500</v>
      </c>
      <c r="H8" s="32">
        <f>SUM(F8,G8)*B8</f>
        <v>23500</v>
      </c>
      <c r="I8" s="1" t="s">
        <v>692</v>
      </c>
      <c r="J8" s="1" t="s">
        <v>701</v>
      </c>
      <c r="L8" s="1" t="s">
        <v>440</v>
      </c>
      <c r="M8" s="31" t="s">
        <v>336</v>
      </c>
      <c r="N8" s="31" t="s">
        <v>337</v>
      </c>
      <c r="O8" s="1" t="s">
        <v>471</v>
      </c>
      <c r="P8" s="1">
        <v>1005678901</v>
      </c>
      <c r="Q8" s="2">
        <v>37406</v>
      </c>
      <c r="R8" s="1">
        <v>3048901235</v>
      </c>
      <c r="S8" s="1" t="s">
        <v>518</v>
      </c>
      <c r="T8" s="1" t="s">
        <v>520</v>
      </c>
      <c r="U8" s="1" t="s">
        <v>17</v>
      </c>
    </row>
    <row r="9" spans="1:21" x14ac:dyDescent="0.25">
      <c r="A9" s="1" t="s">
        <v>482</v>
      </c>
      <c r="B9" s="1">
        <v>2</v>
      </c>
      <c r="C9" s="1" t="s">
        <v>553</v>
      </c>
      <c r="D9" s="1" t="s">
        <v>662</v>
      </c>
      <c r="E9" s="1" t="s">
        <v>648</v>
      </c>
      <c r="F9" s="32">
        <v>23000</v>
      </c>
      <c r="G9" s="32">
        <v>1500</v>
      </c>
      <c r="H9" s="32">
        <v>70000</v>
      </c>
      <c r="I9" s="1" t="s">
        <v>694</v>
      </c>
      <c r="J9" s="1" t="s">
        <v>701</v>
      </c>
      <c r="L9" s="1" t="s">
        <v>441</v>
      </c>
      <c r="M9" s="31" t="s">
        <v>338</v>
      </c>
      <c r="N9" s="31" t="s">
        <v>339</v>
      </c>
      <c r="O9" s="1" t="s">
        <v>471</v>
      </c>
      <c r="P9" s="1">
        <v>1006789012</v>
      </c>
      <c r="Q9" s="2">
        <v>37146</v>
      </c>
      <c r="R9" s="1">
        <v>3059012346</v>
      </c>
      <c r="S9" s="1" t="s">
        <v>518</v>
      </c>
      <c r="T9" s="1" t="s">
        <v>520</v>
      </c>
      <c r="U9" s="1" t="s">
        <v>19</v>
      </c>
    </row>
    <row r="10" spans="1:21" x14ac:dyDescent="0.25">
      <c r="A10" s="1" t="s">
        <v>482</v>
      </c>
      <c r="B10" s="1">
        <v>1</v>
      </c>
      <c r="C10" s="1" t="s">
        <v>548</v>
      </c>
      <c r="D10" s="1" t="s">
        <v>663</v>
      </c>
      <c r="E10" s="1" t="s">
        <v>649</v>
      </c>
      <c r="F10" s="32">
        <v>19000</v>
      </c>
      <c r="G10" s="32">
        <v>2000</v>
      </c>
      <c r="H10" s="32">
        <v>70000</v>
      </c>
      <c r="I10" s="1" t="s">
        <v>694</v>
      </c>
      <c r="J10" s="1" t="s">
        <v>701</v>
      </c>
      <c r="L10" s="1" t="s">
        <v>442</v>
      </c>
      <c r="M10" s="31" t="s">
        <v>340</v>
      </c>
      <c r="N10" s="31" t="s">
        <v>341</v>
      </c>
      <c r="O10" s="1" t="s">
        <v>471</v>
      </c>
      <c r="P10" s="1">
        <v>1007890123</v>
      </c>
      <c r="Q10" s="2">
        <v>37980</v>
      </c>
      <c r="R10" s="1">
        <v>3060123457</v>
      </c>
      <c r="S10" s="1" t="s">
        <v>518</v>
      </c>
      <c r="T10" s="1" t="s">
        <v>520</v>
      </c>
      <c r="U10" s="1" t="s">
        <v>21</v>
      </c>
    </row>
    <row r="11" spans="1:21" x14ac:dyDescent="0.25">
      <c r="A11" s="1" t="s">
        <v>483</v>
      </c>
      <c r="B11" s="1">
        <v>1</v>
      </c>
      <c r="C11" s="1" t="s">
        <v>557</v>
      </c>
      <c r="D11" s="1" t="s">
        <v>663</v>
      </c>
      <c r="E11" s="1" t="s">
        <v>642</v>
      </c>
      <c r="F11" s="32">
        <v>28000</v>
      </c>
      <c r="G11" s="32">
        <v>2000</v>
      </c>
      <c r="H11" s="32">
        <f>SUM(F11,G11)*B11</f>
        <v>30000</v>
      </c>
      <c r="I11" s="1" t="s">
        <v>696</v>
      </c>
      <c r="J11" s="1" t="s">
        <v>707</v>
      </c>
      <c r="L11" s="1" t="s">
        <v>443</v>
      </c>
      <c r="M11" s="31" t="s">
        <v>342</v>
      </c>
      <c r="N11" s="31" t="s">
        <v>343</v>
      </c>
      <c r="O11" s="1" t="s">
        <v>471</v>
      </c>
      <c r="P11" s="1">
        <v>1008901234</v>
      </c>
      <c r="Q11" s="2">
        <v>37290</v>
      </c>
      <c r="R11" s="1">
        <v>3071234568</v>
      </c>
      <c r="S11" s="1" t="s">
        <v>518</v>
      </c>
      <c r="T11" s="1" t="s">
        <v>520</v>
      </c>
      <c r="U11" s="1" t="s">
        <v>23</v>
      </c>
    </row>
    <row r="12" spans="1:21" x14ac:dyDescent="0.25">
      <c r="A12" s="1" t="s">
        <v>484</v>
      </c>
      <c r="B12" s="22">
        <v>2</v>
      </c>
      <c r="C12" s="1" t="s">
        <v>608</v>
      </c>
      <c r="D12" s="1" t="s">
        <v>663</v>
      </c>
      <c r="E12" s="1" t="s">
        <v>653</v>
      </c>
      <c r="F12" s="32">
        <v>23000</v>
      </c>
      <c r="G12" s="32">
        <v>1500</v>
      </c>
      <c r="H12" s="32">
        <v>120000</v>
      </c>
      <c r="I12" s="1" t="s">
        <v>692</v>
      </c>
      <c r="J12" s="1" t="s">
        <v>701</v>
      </c>
      <c r="L12" s="1" t="s">
        <v>444</v>
      </c>
      <c r="M12" s="31" t="s">
        <v>344</v>
      </c>
      <c r="N12" s="31" t="s">
        <v>345</v>
      </c>
      <c r="O12" s="1" t="s">
        <v>471</v>
      </c>
      <c r="P12" s="1">
        <v>1009012345</v>
      </c>
      <c r="Q12" s="2">
        <v>36694</v>
      </c>
      <c r="R12" s="1">
        <v>3082345679</v>
      </c>
      <c r="S12" s="1" t="s">
        <v>518</v>
      </c>
      <c r="T12" s="1" t="s">
        <v>521</v>
      </c>
      <c r="U12" s="1" t="s">
        <v>26</v>
      </c>
    </row>
    <row r="13" spans="1:21" x14ac:dyDescent="0.25">
      <c r="A13" s="1" t="s">
        <v>484</v>
      </c>
      <c r="B13" s="22">
        <v>2</v>
      </c>
      <c r="C13" s="1" t="s">
        <v>553</v>
      </c>
      <c r="D13" s="1" t="s">
        <v>662</v>
      </c>
      <c r="E13" s="1" t="s">
        <v>645</v>
      </c>
      <c r="F13" s="32">
        <v>23000</v>
      </c>
      <c r="G13" s="32">
        <v>1500</v>
      </c>
      <c r="H13" s="32">
        <v>120000</v>
      </c>
      <c r="I13" s="1" t="s">
        <v>692</v>
      </c>
      <c r="J13" s="1" t="s">
        <v>701</v>
      </c>
      <c r="L13" s="1" t="s">
        <v>445</v>
      </c>
      <c r="M13" s="31" t="s">
        <v>346</v>
      </c>
      <c r="N13" s="31" t="s">
        <v>347</v>
      </c>
      <c r="O13" s="1" t="s">
        <v>471</v>
      </c>
      <c r="P13" s="1">
        <v>1010123456</v>
      </c>
      <c r="Q13" s="2">
        <v>37922</v>
      </c>
      <c r="R13" s="1">
        <v>3093456780</v>
      </c>
      <c r="S13" s="1" t="s">
        <v>518</v>
      </c>
      <c r="T13" s="1" t="s">
        <v>520</v>
      </c>
      <c r="U13" s="1" t="s">
        <v>29</v>
      </c>
    </row>
    <row r="14" spans="1:21" x14ac:dyDescent="0.25">
      <c r="A14" s="1" t="s">
        <v>484</v>
      </c>
      <c r="B14" s="22">
        <v>2</v>
      </c>
      <c r="C14" s="1" t="s">
        <v>555</v>
      </c>
      <c r="D14" s="1" t="s">
        <v>661</v>
      </c>
      <c r="E14" s="1" t="s">
        <v>650</v>
      </c>
      <c r="F14" s="32">
        <v>20000</v>
      </c>
      <c r="G14" s="32">
        <v>2000</v>
      </c>
      <c r="H14" s="32">
        <v>120000</v>
      </c>
      <c r="I14" s="1" t="s">
        <v>692</v>
      </c>
      <c r="J14" s="1" t="s">
        <v>701</v>
      </c>
      <c r="L14" s="1" t="s">
        <v>446</v>
      </c>
      <c r="M14" s="31" t="s">
        <v>348</v>
      </c>
      <c r="N14" s="31" t="s">
        <v>349</v>
      </c>
      <c r="O14" s="1" t="s">
        <v>471</v>
      </c>
      <c r="P14" s="1">
        <v>1011234567</v>
      </c>
      <c r="Q14" s="2">
        <v>36992</v>
      </c>
      <c r="R14" s="1">
        <v>3104567891</v>
      </c>
      <c r="S14" s="1" t="s">
        <v>518</v>
      </c>
      <c r="T14" s="1" t="s">
        <v>520</v>
      </c>
      <c r="U14" s="1" t="s">
        <v>32</v>
      </c>
    </row>
    <row r="15" spans="1:21" x14ac:dyDescent="0.25">
      <c r="A15" s="1" t="s">
        <v>485</v>
      </c>
      <c r="B15" s="1">
        <v>1</v>
      </c>
      <c r="C15" s="1" t="s">
        <v>595</v>
      </c>
      <c r="D15" s="1" t="s">
        <v>662</v>
      </c>
      <c r="E15" s="1" t="s">
        <v>655</v>
      </c>
      <c r="F15" s="32">
        <v>14000</v>
      </c>
      <c r="G15" s="32">
        <v>1500</v>
      </c>
      <c r="H15" s="32">
        <v>30500</v>
      </c>
      <c r="I15" s="1" t="s">
        <v>692</v>
      </c>
      <c r="J15" s="1" t="s">
        <v>711</v>
      </c>
      <c r="L15" s="1" t="s">
        <v>447</v>
      </c>
      <c r="M15" s="31" t="s">
        <v>350</v>
      </c>
      <c r="N15" s="31" t="s">
        <v>351</v>
      </c>
      <c r="O15" s="1" t="s">
        <v>471</v>
      </c>
      <c r="P15" s="1">
        <v>1012345678</v>
      </c>
      <c r="Q15" s="2">
        <v>37474</v>
      </c>
      <c r="R15" s="1">
        <v>3115678902</v>
      </c>
      <c r="S15" s="1" t="s">
        <v>518</v>
      </c>
      <c r="T15" s="1" t="s">
        <v>520</v>
      </c>
      <c r="U15" s="1" t="s">
        <v>33</v>
      </c>
    </row>
    <row r="16" spans="1:21" x14ac:dyDescent="0.25">
      <c r="A16" s="1" t="s">
        <v>485</v>
      </c>
      <c r="B16" s="1">
        <v>1</v>
      </c>
      <c r="C16" s="1" t="s">
        <v>598</v>
      </c>
      <c r="D16" s="1" t="s">
        <v>662</v>
      </c>
      <c r="E16" s="1" t="s">
        <v>654</v>
      </c>
      <c r="F16" s="32">
        <v>14000</v>
      </c>
      <c r="G16" s="32">
        <v>1000</v>
      </c>
      <c r="H16" s="32">
        <v>30500</v>
      </c>
      <c r="I16" s="1" t="s">
        <v>694</v>
      </c>
      <c r="J16" s="1" t="s">
        <v>705</v>
      </c>
      <c r="L16" s="1" t="s">
        <v>448</v>
      </c>
      <c r="M16" s="31" t="s">
        <v>352</v>
      </c>
      <c r="N16" s="31" t="s">
        <v>353</v>
      </c>
      <c r="O16" s="1" t="s">
        <v>471</v>
      </c>
      <c r="P16" s="1">
        <v>1013456789</v>
      </c>
      <c r="Q16" s="2">
        <v>38009</v>
      </c>
      <c r="R16" s="1">
        <v>3126789013</v>
      </c>
      <c r="S16" s="1" t="s">
        <v>518</v>
      </c>
      <c r="T16" s="1" t="s">
        <v>520</v>
      </c>
      <c r="U16" s="1" t="s">
        <v>35</v>
      </c>
    </row>
    <row r="17" spans="1:21" x14ac:dyDescent="0.25">
      <c r="A17" s="1" t="s">
        <v>486</v>
      </c>
      <c r="B17" s="1">
        <v>3</v>
      </c>
      <c r="C17" s="1" t="s">
        <v>623</v>
      </c>
      <c r="D17" s="1" t="s">
        <v>663</v>
      </c>
      <c r="E17" s="1" t="s">
        <v>641</v>
      </c>
      <c r="F17" s="32">
        <v>25000</v>
      </c>
      <c r="G17" s="32">
        <v>1000</v>
      </c>
      <c r="H17" s="32">
        <f>SUM(F17,G17)*B17</f>
        <v>78000</v>
      </c>
      <c r="I17" s="1" t="s">
        <v>694</v>
      </c>
      <c r="J17" s="1" t="s">
        <v>711</v>
      </c>
      <c r="L17" s="1" t="s">
        <v>449</v>
      </c>
      <c r="M17" s="31" t="s">
        <v>354</v>
      </c>
      <c r="N17" s="31" t="s">
        <v>345</v>
      </c>
      <c r="O17" s="1" t="s">
        <v>471</v>
      </c>
      <c r="P17" s="1">
        <v>1014567890</v>
      </c>
      <c r="Q17" s="2">
        <v>37025</v>
      </c>
      <c r="R17" s="1">
        <v>3137890124</v>
      </c>
      <c r="S17" s="1" t="s">
        <v>518</v>
      </c>
      <c r="T17" s="1" t="s">
        <v>520</v>
      </c>
      <c r="U17" s="1" t="s">
        <v>37</v>
      </c>
    </row>
    <row r="18" spans="1:21" x14ac:dyDescent="0.25">
      <c r="A18" s="1" t="s">
        <v>487</v>
      </c>
      <c r="B18" s="1">
        <v>2</v>
      </c>
      <c r="C18" s="1" t="s">
        <v>565</v>
      </c>
      <c r="D18" s="1" t="s">
        <v>662</v>
      </c>
      <c r="E18" s="1" t="s">
        <v>651</v>
      </c>
      <c r="F18" s="32">
        <v>15000</v>
      </c>
      <c r="G18" s="32">
        <v>1500</v>
      </c>
      <c r="H18" s="32">
        <v>49000</v>
      </c>
      <c r="I18" s="1" t="s">
        <v>694</v>
      </c>
      <c r="J18" s="1" t="s">
        <v>705</v>
      </c>
      <c r="L18" s="1" t="s">
        <v>450</v>
      </c>
      <c r="M18" s="31" t="s">
        <v>355</v>
      </c>
      <c r="N18" s="31" t="s">
        <v>356</v>
      </c>
      <c r="O18" s="1" t="s">
        <v>471</v>
      </c>
      <c r="P18" s="1">
        <v>1015678901</v>
      </c>
      <c r="Q18" s="2">
        <v>37903</v>
      </c>
      <c r="R18" s="1">
        <v>3148901235</v>
      </c>
      <c r="S18" s="1" t="s">
        <v>518</v>
      </c>
      <c r="T18" s="1" t="s">
        <v>520</v>
      </c>
      <c r="U18" s="1" t="s">
        <v>40</v>
      </c>
    </row>
    <row r="19" spans="1:21" x14ac:dyDescent="0.25">
      <c r="A19" s="1" t="s">
        <v>487</v>
      </c>
      <c r="B19" s="1">
        <v>1</v>
      </c>
      <c r="C19" s="1" t="s">
        <v>567</v>
      </c>
      <c r="D19" s="1" t="s">
        <v>661</v>
      </c>
      <c r="E19" s="1" t="s">
        <v>646</v>
      </c>
      <c r="F19" s="32">
        <v>15000</v>
      </c>
      <c r="G19" s="32">
        <v>1000</v>
      </c>
      <c r="H19" s="32">
        <v>49000</v>
      </c>
      <c r="I19" s="1" t="s">
        <v>694</v>
      </c>
      <c r="J19" s="1" t="s">
        <v>705</v>
      </c>
      <c r="L19" s="1" t="s">
        <v>451</v>
      </c>
      <c r="M19" s="31" t="s">
        <v>357</v>
      </c>
      <c r="N19" s="31" t="s">
        <v>358</v>
      </c>
      <c r="O19" s="1" t="s">
        <v>472</v>
      </c>
      <c r="P19" s="1">
        <v>1016789012</v>
      </c>
      <c r="Q19" s="2">
        <v>36583</v>
      </c>
      <c r="R19" s="1">
        <v>3159012346</v>
      </c>
      <c r="S19" s="1" t="s">
        <v>518</v>
      </c>
      <c r="T19" s="1" t="s">
        <v>520</v>
      </c>
      <c r="U19" s="1" t="s">
        <v>43</v>
      </c>
    </row>
    <row r="20" spans="1:21" x14ac:dyDescent="0.25">
      <c r="A20" s="1" t="s">
        <v>488</v>
      </c>
      <c r="B20" s="1">
        <v>1</v>
      </c>
      <c r="C20" s="1" t="s">
        <v>567</v>
      </c>
      <c r="D20" s="1" t="s">
        <v>661</v>
      </c>
      <c r="E20" s="1" t="s">
        <v>651</v>
      </c>
      <c r="F20" s="32">
        <v>15000</v>
      </c>
      <c r="G20" s="32">
        <v>1500</v>
      </c>
      <c r="H20" s="32">
        <f>SUM(F20,G20)*B20</f>
        <v>16500</v>
      </c>
      <c r="I20" s="1" t="s">
        <v>688</v>
      </c>
      <c r="J20" s="1" t="s">
        <v>705</v>
      </c>
      <c r="L20" s="1" t="s">
        <v>452</v>
      </c>
      <c r="M20" s="31" t="s">
        <v>359</v>
      </c>
      <c r="N20" s="31" t="s">
        <v>360</v>
      </c>
      <c r="O20" s="1" t="s">
        <v>471</v>
      </c>
      <c r="P20" s="1">
        <v>1017890123</v>
      </c>
      <c r="Q20" s="2">
        <v>37608</v>
      </c>
      <c r="R20" s="1">
        <v>3160123457</v>
      </c>
      <c r="S20" s="1" t="s">
        <v>518</v>
      </c>
      <c r="T20" s="1" t="s">
        <v>520</v>
      </c>
      <c r="U20" s="1" t="s">
        <v>46</v>
      </c>
    </row>
    <row r="21" spans="1:21" x14ac:dyDescent="0.25">
      <c r="A21" s="1" t="s">
        <v>489</v>
      </c>
      <c r="B21" s="1">
        <v>2</v>
      </c>
      <c r="C21" s="1" t="s">
        <v>572</v>
      </c>
      <c r="D21" s="1" t="s">
        <v>663</v>
      </c>
      <c r="E21" s="1" t="s">
        <v>654</v>
      </c>
      <c r="F21" s="32">
        <v>17000</v>
      </c>
      <c r="G21" s="32">
        <v>1000</v>
      </c>
      <c r="H21" s="32">
        <v>99000</v>
      </c>
      <c r="I21" s="1" t="s">
        <v>688</v>
      </c>
      <c r="J21" s="1" t="s">
        <v>701</v>
      </c>
      <c r="L21" s="1" t="s">
        <v>453</v>
      </c>
      <c r="M21" s="31" t="s">
        <v>361</v>
      </c>
      <c r="N21" s="31" t="s">
        <v>362</v>
      </c>
      <c r="O21" s="1" t="s">
        <v>471</v>
      </c>
      <c r="P21" s="1">
        <v>1018901234</v>
      </c>
      <c r="Q21" s="2">
        <v>37047</v>
      </c>
      <c r="R21" s="1">
        <v>3171234568</v>
      </c>
      <c r="S21" s="1" t="s">
        <v>518</v>
      </c>
      <c r="T21" s="1" t="s">
        <v>520</v>
      </c>
      <c r="U21" s="1" t="s">
        <v>47</v>
      </c>
    </row>
    <row r="22" spans="1:21" x14ac:dyDescent="0.25">
      <c r="A22" s="1" t="s">
        <v>489</v>
      </c>
      <c r="B22" s="1">
        <v>3</v>
      </c>
      <c r="C22" s="1" t="s">
        <v>625</v>
      </c>
      <c r="D22" s="1" t="s">
        <v>662</v>
      </c>
      <c r="E22" s="1" t="s">
        <v>641</v>
      </c>
      <c r="F22" s="32">
        <v>20000</v>
      </c>
      <c r="G22" s="32">
        <v>1000</v>
      </c>
      <c r="H22" s="32">
        <v>99000</v>
      </c>
      <c r="I22" s="1" t="s">
        <v>688</v>
      </c>
      <c r="J22" s="1" t="s">
        <v>701</v>
      </c>
      <c r="L22" s="1" t="s">
        <v>454</v>
      </c>
      <c r="M22" s="31" t="s">
        <v>363</v>
      </c>
      <c r="N22" s="31" t="s">
        <v>364</v>
      </c>
      <c r="O22" s="1" t="s">
        <v>471</v>
      </c>
      <c r="P22" s="1">
        <v>1019012345</v>
      </c>
      <c r="Q22" s="2">
        <v>37885</v>
      </c>
      <c r="R22" s="1">
        <v>3182345679</v>
      </c>
      <c r="S22" s="1" t="s">
        <v>518</v>
      </c>
      <c r="T22" s="1" t="s">
        <v>520</v>
      </c>
      <c r="U22" s="1" t="s">
        <v>50</v>
      </c>
    </row>
    <row r="23" spans="1:21" x14ac:dyDescent="0.25">
      <c r="A23" s="1" t="s">
        <v>490</v>
      </c>
      <c r="B23" s="1">
        <v>1</v>
      </c>
      <c r="C23" s="1" t="s">
        <v>574</v>
      </c>
      <c r="D23" s="1" t="s">
        <v>662</v>
      </c>
      <c r="E23" s="1" t="s">
        <v>644</v>
      </c>
      <c r="F23" s="32">
        <v>25000</v>
      </c>
      <c r="G23" s="32">
        <v>1500</v>
      </c>
      <c r="H23" s="32">
        <f>SUM(F23,G23)*B23</f>
        <v>26500</v>
      </c>
      <c r="I23" s="1" t="s">
        <v>688</v>
      </c>
      <c r="J23" s="1" t="s">
        <v>705</v>
      </c>
      <c r="L23" s="1" t="s">
        <v>455</v>
      </c>
      <c r="M23" s="31" t="s">
        <v>365</v>
      </c>
      <c r="N23" s="31" t="s">
        <v>366</v>
      </c>
      <c r="O23" s="1" t="s">
        <v>471</v>
      </c>
      <c r="P23" s="1">
        <v>1020123456</v>
      </c>
      <c r="Q23" s="2">
        <v>37331</v>
      </c>
      <c r="R23" s="1">
        <v>3193456780</v>
      </c>
      <c r="S23" s="1" t="s">
        <v>518</v>
      </c>
      <c r="T23" s="1" t="s">
        <v>520</v>
      </c>
      <c r="U23" s="1" t="s">
        <v>53</v>
      </c>
    </row>
    <row r="24" spans="1:21" x14ac:dyDescent="0.25">
      <c r="A24" s="1" t="s">
        <v>491</v>
      </c>
      <c r="B24" s="1">
        <v>3</v>
      </c>
      <c r="C24" s="1" t="s">
        <v>584</v>
      </c>
      <c r="D24" s="1" t="s">
        <v>663</v>
      </c>
      <c r="E24" s="1" t="s">
        <v>648</v>
      </c>
      <c r="F24" s="32">
        <v>19000</v>
      </c>
      <c r="G24" s="32">
        <v>1500</v>
      </c>
      <c r="H24" s="32">
        <v>173500</v>
      </c>
      <c r="I24" s="1" t="s">
        <v>692</v>
      </c>
      <c r="J24" s="1" t="s">
        <v>701</v>
      </c>
      <c r="L24" s="1" t="s">
        <v>456</v>
      </c>
      <c r="M24" s="31" t="s">
        <v>338</v>
      </c>
      <c r="N24" s="31" t="s">
        <v>367</v>
      </c>
      <c r="O24" s="1" t="s">
        <v>471</v>
      </c>
      <c r="P24" s="1">
        <v>1021234567</v>
      </c>
      <c r="Q24" s="2">
        <v>36736</v>
      </c>
      <c r="R24" s="1">
        <v>3005678901</v>
      </c>
      <c r="S24" s="1" t="s">
        <v>518</v>
      </c>
      <c r="T24" s="1" t="s">
        <v>520</v>
      </c>
      <c r="U24" s="1" t="s">
        <v>56</v>
      </c>
    </row>
    <row r="25" spans="1:21" x14ac:dyDescent="0.25">
      <c r="A25" s="1" t="s">
        <v>491</v>
      </c>
      <c r="B25" s="1">
        <v>4</v>
      </c>
      <c r="C25" s="1" t="s">
        <v>530</v>
      </c>
      <c r="D25" s="1" t="s">
        <v>663</v>
      </c>
      <c r="E25" s="1" t="s">
        <v>649</v>
      </c>
      <c r="F25" s="32">
        <v>26000</v>
      </c>
      <c r="G25" s="32">
        <v>2000</v>
      </c>
      <c r="H25" s="32">
        <v>173500</v>
      </c>
      <c r="I25" s="1" t="s">
        <v>692</v>
      </c>
      <c r="J25" s="1" t="s">
        <v>701</v>
      </c>
      <c r="L25" s="1" t="s">
        <v>457</v>
      </c>
      <c r="M25" s="31" t="s">
        <v>368</v>
      </c>
      <c r="N25" s="31" t="s">
        <v>369</v>
      </c>
      <c r="O25" s="1" t="s">
        <v>471</v>
      </c>
      <c r="P25" s="1">
        <v>1022345678</v>
      </c>
      <c r="Q25" s="2">
        <v>37205</v>
      </c>
      <c r="R25" s="1">
        <v>3016789012</v>
      </c>
      <c r="S25" s="1" t="s">
        <v>518</v>
      </c>
      <c r="T25" s="1" t="s">
        <v>520</v>
      </c>
      <c r="U25" s="1" t="s">
        <v>58</v>
      </c>
    </row>
    <row r="26" spans="1:21" x14ac:dyDescent="0.25">
      <c r="A26" s="1" t="s">
        <v>492</v>
      </c>
      <c r="B26" s="1">
        <v>2</v>
      </c>
      <c r="C26" s="1" t="s">
        <v>634</v>
      </c>
      <c r="D26" s="1" t="s">
        <v>662</v>
      </c>
      <c r="E26" s="1" t="s">
        <v>651</v>
      </c>
      <c r="F26" s="32">
        <v>14000</v>
      </c>
      <c r="G26" s="32">
        <v>1500</v>
      </c>
      <c r="H26" s="32">
        <f>SUM(F26,G26)*B26</f>
        <v>31000</v>
      </c>
      <c r="I26" s="1" t="s">
        <v>696</v>
      </c>
      <c r="J26" s="1" t="s">
        <v>705</v>
      </c>
      <c r="L26" s="1" t="s">
        <v>458</v>
      </c>
      <c r="M26" s="31" t="s">
        <v>370</v>
      </c>
      <c r="N26" s="31" t="s">
        <v>371</v>
      </c>
      <c r="O26" s="1" t="s">
        <v>471</v>
      </c>
      <c r="P26" s="1">
        <v>1023456789</v>
      </c>
      <c r="Q26" s="2">
        <v>37735</v>
      </c>
      <c r="R26" s="1">
        <v>3027890123</v>
      </c>
      <c r="S26" s="1" t="s">
        <v>518</v>
      </c>
      <c r="T26" s="1" t="s">
        <v>520</v>
      </c>
      <c r="U26" s="1" t="s">
        <v>61</v>
      </c>
    </row>
    <row r="27" spans="1:21" x14ac:dyDescent="0.25">
      <c r="A27" s="1" t="s">
        <v>493</v>
      </c>
      <c r="B27" s="1">
        <v>1</v>
      </c>
      <c r="C27" s="1" t="s">
        <v>620</v>
      </c>
      <c r="D27" s="1" t="s">
        <v>663</v>
      </c>
      <c r="E27" s="1" t="s">
        <v>645</v>
      </c>
      <c r="F27" s="32">
        <v>18000</v>
      </c>
      <c r="G27" s="32">
        <v>1500</v>
      </c>
      <c r="H27" s="32">
        <f>SUM(F27,G27)*B27</f>
        <v>19500</v>
      </c>
      <c r="I27" s="1" t="s">
        <v>696</v>
      </c>
      <c r="J27" s="1" t="s">
        <v>705</v>
      </c>
      <c r="L27" s="1" t="s">
        <v>459</v>
      </c>
      <c r="M27" s="31" t="s">
        <v>372</v>
      </c>
      <c r="N27" s="31" t="s">
        <v>373</v>
      </c>
      <c r="O27" s="1" t="s">
        <v>471</v>
      </c>
      <c r="P27" s="1">
        <v>1024567890</v>
      </c>
      <c r="Q27" s="2">
        <v>37263</v>
      </c>
      <c r="R27" s="1">
        <v>3038901234</v>
      </c>
      <c r="S27" s="1" t="s">
        <v>518</v>
      </c>
      <c r="T27" s="1" t="s">
        <v>520</v>
      </c>
      <c r="U27" s="1" t="s">
        <v>63</v>
      </c>
    </row>
    <row r="28" spans="1:21" x14ac:dyDescent="0.25">
      <c r="A28" s="1" t="s">
        <v>494</v>
      </c>
      <c r="B28" s="1">
        <v>2</v>
      </c>
      <c r="C28" s="1" t="s">
        <v>616</v>
      </c>
      <c r="D28" s="1" t="s">
        <v>662</v>
      </c>
      <c r="E28" s="1" t="s">
        <v>652</v>
      </c>
      <c r="F28" s="32">
        <v>16000</v>
      </c>
      <c r="G28" s="32">
        <v>1500</v>
      </c>
      <c r="H28" s="32">
        <f>SUM(F28,G28)*B28</f>
        <v>35000</v>
      </c>
      <c r="I28" s="1" t="s">
        <v>696</v>
      </c>
      <c r="J28" s="1" t="s">
        <v>705</v>
      </c>
      <c r="L28" s="1" t="s">
        <v>460</v>
      </c>
      <c r="M28" s="31" t="s">
        <v>374</v>
      </c>
      <c r="N28" s="31" t="s">
        <v>375</v>
      </c>
      <c r="O28" s="1" t="s">
        <v>472</v>
      </c>
      <c r="P28" s="1">
        <v>1025678901</v>
      </c>
      <c r="Q28" s="2">
        <v>36751</v>
      </c>
      <c r="R28" s="1">
        <v>3049012345</v>
      </c>
      <c r="S28" s="1" t="s">
        <v>518</v>
      </c>
      <c r="T28" s="1" t="s">
        <v>520</v>
      </c>
      <c r="U28" s="1" t="s">
        <v>65</v>
      </c>
    </row>
    <row r="29" spans="1:21" x14ac:dyDescent="0.25">
      <c r="A29" s="1" t="s">
        <v>495</v>
      </c>
      <c r="B29" s="1">
        <v>1</v>
      </c>
      <c r="C29" s="1" t="s">
        <v>572</v>
      </c>
      <c r="D29" s="1" t="s">
        <v>663</v>
      </c>
      <c r="E29" s="1" t="s">
        <v>647</v>
      </c>
      <c r="F29" s="32">
        <v>17000</v>
      </c>
      <c r="G29" s="32">
        <v>2000</v>
      </c>
      <c r="H29" s="32">
        <v>52000</v>
      </c>
      <c r="I29" s="1" t="s">
        <v>696</v>
      </c>
      <c r="J29" s="1" t="s">
        <v>705</v>
      </c>
      <c r="L29" s="1" t="s">
        <v>461</v>
      </c>
      <c r="M29" s="31" t="s">
        <v>376</v>
      </c>
      <c r="N29" s="31" t="s">
        <v>377</v>
      </c>
      <c r="O29" s="1" t="s">
        <v>471</v>
      </c>
      <c r="P29" s="1">
        <v>1026789012</v>
      </c>
      <c r="Q29" s="2">
        <v>37767</v>
      </c>
      <c r="R29" s="1">
        <v>3050123456</v>
      </c>
      <c r="S29" s="1" t="s">
        <v>518</v>
      </c>
      <c r="T29" s="1" t="s">
        <v>520</v>
      </c>
      <c r="U29" s="1" t="s">
        <v>67</v>
      </c>
    </row>
    <row r="30" spans="1:21" x14ac:dyDescent="0.25">
      <c r="A30" s="1" t="s">
        <v>496</v>
      </c>
      <c r="B30" s="1">
        <v>2</v>
      </c>
      <c r="C30" s="1" t="s">
        <v>534</v>
      </c>
      <c r="D30" s="1" t="s">
        <v>661</v>
      </c>
      <c r="E30" s="1" t="s">
        <v>655</v>
      </c>
      <c r="F30" s="32">
        <v>15000</v>
      </c>
      <c r="G30" s="32">
        <v>1500</v>
      </c>
      <c r="H30" s="32">
        <v>52000</v>
      </c>
      <c r="I30" s="1" t="s">
        <v>696</v>
      </c>
      <c r="J30" s="1" t="s">
        <v>711</v>
      </c>
      <c r="L30" s="1" t="s">
        <v>462</v>
      </c>
      <c r="M30" s="31" t="s">
        <v>378</v>
      </c>
      <c r="N30" s="31" t="s">
        <v>379</v>
      </c>
      <c r="O30" s="1" t="s">
        <v>471</v>
      </c>
      <c r="P30" s="1">
        <v>1027890123</v>
      </c>
      <c r="Q30" s="2">
        <v>37227</v>
      </c>
      <c r="R30" s="1">
        <v>3061234567</v>
      </c>
      <c r="S30" s="1" t="s">
        <v>518</v>
      </c>
      <c r="T30" s="1" t="s">
        <v>520</v>
      </c>
      <c r="U30" s="1" t="s">
        <v>69</v>
      </c>
    </row>
    <row r="31" spans="1:21" x14ac:dyDescent="0.25">
      <c r="A31" s="1" t="s">
        <v>497</v>
      </c>
      <c r="B31" s="1">
        <v>2</v>
      </c>
      <c r="C31" s="1" t="s">
        <v>605</v>
      </c>
      <c r="D31" s="1" t="s">
        <v>663</v>
      </c>
      <c r="E31" s="1" t="s">
        <v>641</v>
      </c>
      <c r="F31" s="32">
        <v>23000</v>
      </c>
      <c r="G31" s="32">
        <v>1000</v>
      </c>
      <c r="H31" s="32">
        <f>SUM(F31,G31)*B31</f>
        <v>48000</v>
      </c>
      <c r="I31" s="1" t="s">
        <v>688</v>
      </c>
      <c r="J31" s="1" t="s">
        <v>707</v>
      </c>
      <c r="L31" s="1" t="s">
        <v>463</v>
      </c>
      <c r="M31" s="31" t="s">
        <v>380</v>
      </c>
      <c r="N31" s="31" t="s">
        <v>381</v>
      </c>
      <c r="O31" s="1" t="s">
        <v>471</v>
      </c>
      <c r="P31" s="1">
        <v>1028901234</v>
      </c>
      <c r="Q31" s="2">
        <v>38158</v>
      </c>
      <c r="R31" s="1">
        <v>3072345678</v>
      </c>
      <c r="S31" s="1" t="s">
        <v>518</v>
      </c>
      <c r="T31" s="1" t="s">
        <v>521</v>
      </c>
      <c r="U31" s="1" t="s">
        <v>71</v>
      </c>
    </row>
    <row r="32" spans="1:21" x14ac:dyDescent="0.25">
      <c r="A32" s="1" t="s">
        <v>498</v>
      </c>
      <c r="B32" s="1">
        <v>1</v>
      </c>
      <c r="C32" s="1" t="s">
        <v>589</v>
      </c>
      <c r="D32" s="1" t="s">
        <v>662</v>
      </c>
      <c r="E32" s="1" t="s">
        <v>642</v>
      </c>
      <c r="F32" s="32">
        <v>14000</v>
      </c>
      <c r="G32" s="32">
        <v>2000</v>
      </c>
      <c r="H32" s="32">
        <f>SUM(F32,G32)*B32</f>
        <v>16000</v>
      </c>
      <c r="I32" s="1" t="s">
        <v>696</v>
      </c>
      <c r="J32" s="1" t="s">
        <v>707</v>
      </c>
      <c r="L32" s="1" t="s">
        <v>464</v>
      </c>
      <c r="M32" s="31" t="s">
        <v>382</v>
      </c>
      <c r="N32" s="31" t="s">
        <v>383</v>
      </c>
      <c r="O32" s="1" t="s">
        <v>471</v>
      </c>
      <c r="P32" s="1">
        <v>1029012345</v>
      </c>
      <c r="Q32" s="2">
        <v>37560</v>
      </c>
      <c r="R32" s="1">
        <v>3083456789</v>
      </c>
      <c r="S32" s="1" t="s">
        <v>518</v>
      </c>
      <c r="T32" s="1" t="s">
        <v>520</v>
      </c>
      <c r="U32" s="1" t="s">
        <v>73</v>
      </c>
    </row>
    <row r="33" spans="1:21" x14ac:dyDescent="0.25">
      <c r="A33" s="1" t="s">
        <v>499</v>
      </c>
      <c r="B33" s="1">
        <v>3</v>
      </c>
      <c r="C33" s="1" t="s">
        <v>527</v>
      </c>
      <c r="D33" s="1" t="s">
        <v>663</v>
      </c>
      <c r="E33" s="1" t="s">
        <v>643</v>
      </c>
      <c r="F33" s="32">
        <v>23000</v>
      </c>
      <c r="G33" s="32">
        <v>1500</v>
      </c>
      <c r="H33" s="32">
        <f>SUM(F33,G33)*B33</f>
        <v>73500</v>
      </c>
      <c r="I33" s="1" t="s">
        <v>696</v>
      </c>
      <c r="J33" s="1" t="s">
        <v>707</v>
      </c>
      <c r="L33" s="1" t="s">
        <v>465</v>
      </c>
      <c r="M33" s="31" t="s">
        <v>384</v>
      </c>
      <c r="N33" s="31" t="s">
        <v>385</v>
      </c>
      <c r="O33" s="1" t="s">
        <v>472</v>
      </c>
      <c r="P33" s="1">
        <v>1030123456</v>
      </c>
      <c r="Q33" s="2">
        <v>36931</v>
      </c>
      <c r="R33" s="1">
        <v>3094567890</v>
      </c>
      <c r="S33" s="1" t="s">
        <v>517</v>
      </c>
      <c r="T33" s="1" t="s">
        <v>520</v>
      </c>
      <c r="U33" s="1" t="s">
        <v>74</v>
      </c>
    </row>
    <row r="34" spans="1:21" x14ac:dyDescent="0.25">
      <c r="A34" s="1" t="s">
        <v>500</v>
      </c>
      <c r="B34" s="22">
        <v>2</v>
      </c>
      <c r="C34" s="1" t="s">
        <v>554</v>
      </c>
      <c r="D34" s="1" t="s">
        <v>663</v>
      </c>
      <c r="E34" s="1" t="s">
        <v>646</v>
      </c>
      <c r="F34" s="32">
        <v>25000</v>
      </c>
      <c r="G34" s="32">
        <v>1000</v>
      </c>
      <c r="H34" s="32">
        <v>311000</v>
      </c>
      <c r="I34" s="1" t="s">
        <v>694</v>
      </c>
      <c r="J34" s="1" t="s">
        <v>701</v>
      </c>
    </row>
    <row r="35" spans="1:21" x14ac:dyDescent="0.25">
      <c r="A35" s="1" t="s">
        <v>500</v>
      </c>
      <c r="B35" s="22">
        <v>3</v>
      </c>
      <c r="C35" s="1" t="s">
        <v>548</v>
      </c>
      <c r="D35" s="1" t="s">
        <v>662</v>
      </c>
      <c r="E35" s="1" t="s">
        <v>647</v>
      </c>
      <c r="F35" s="32">
        <v>17000</v>
      </c>
      <c r="G35" s="32">
        <v>2000</v>
      </c>
      <c r="H35" s="32">
        <v>311000</v>
      </c>
      <c r="I35" s="1" t="s">
        <v>694</v>
      </c>
      <c r="J35" s="1" t="s">
        <v>701</v>
      </c>
    </row>
    <row r="36" spans="1:21" x14ac:dyDescent="0.25">
      <c r="A36" s="1" t="s">
        <v>500</v>
      </c>
      <c r="B36" s="22">
        <v>4</v>
      </c>
      <c r="C36" s="1" t="s">
        <v>634</v>
      </c>
      <c r="D36" s="1" t="s">
        <v>662</v>
      </c>
      <c r="E36" s="1" t="s">
        <v>648</v>
      </c>
      <c r="F36" s="32">
        <v>14000</v>
      </c>
      <c r="G36" s="32">
        <v>1500</v>
      </c>
      <c r="H36" s="32">
        <v>311000</v>
      </c>
      <c r="I36" s="1" t="s">
        <v>694</v>
      </c>
      <c r="J36" s="1" t="s">
        <v>701</v>
      </c>
    </row>
    <row r="37" spans="1:21" x14ac:dyDescent="0.25">
      <c r="A37" s="1" t="s">
        <v>500</v>
      </c>
      <c r="B37" s="22">
        <v>7</v>
      </c>
      <c r="C37" s="1" t="s">
        <v>630</v>
      </c>
      <c r="D37" s="1" t="s">
        <v>661</v>
      </c>
      <c r="E37" s="1" t="s">
        <v>650</v>
      </c>
      <c r="F37" s="32">
        <v>15000</v>
      </c>
      <c r="G37" s="32">
        <v>2000</v>
      </c>
      <c r="H37" s="32">
        <v>311000</v>
      </c>
      <c r="I37" s="1" t="s">
        <v>694</v>
      </c>
      <c r="J37" s="1" t="s">
        <v>701</v>
      </c>
    </row>
    <row r="38" spans="1:21" x14ac:dyDescent="0.25">
      <c r="A38" s="1" t="s">
        <v>500</v>
      </c>
      <c r="B38" s="22">
        <v>1</v>
      </c>
      <c r="C38" s="1" t="s">
        <v>528</v>
      </c>
      <c r="D38" s="1" t="s">
        <v>661</v>
      </c>
      <c r="E38" s="1" t="s">
        <v>641</v>
      </c>
      <c r="F38" s="32">
        <v>20000</v>
      </c>
      <c r="G38" s="32">
        <v>1000</v>
      </c>
      <c r="H38" s="32">
        <v>311000</v>
      </c>
      <c r="I38" s="1" t="s">
        <v>694</v>
      </c>
      <c r="J38" s="1" t="s">
        <v>701</v>
      </c>
      <c r="L38" s="70"/>
      <c r="M38" s="70"/>
      <c r="N38" s="70"/>
      <c r="O38" s="36"/>
      <c r="P38" s="36"/>
    </row>
    <row r="39" spans="1:21" x14ac:dyDescent="0.25">
      <c r="A39" s="1" t="s">
        <v>501</v>
      </c>
      <c r="B39" s="1">
        <v>1</v>
      </c>
      <c r="C39" s="1" t="s">
        <v>541</v>
      </c>
      <c r="D39" s="1" t="s">
        <v>662</v>
      </c>
      <c r="E39" s="1" t="s">
        <v>655</v>
      </c>
      <c r="F39" s="32">
        <v>16000</v>
      </c>
      <c r="G39" s="32">
        <v>1500</v>
      </c>
      <c r="H39" s="32">
        <f>SUM(F39,G39)*B39</f>
        <v>17500</v>
      </c>
      <c r="I39" s="1" t="s">
        <v>688</v>
      </c>
      <c r="J39" s="1" t="s">
        <v>711</v>
      </c>
      <c r="L39" s="72" t="s">
        <v>512</v>
      </c>
      <c r="M39" s="72"/>
      <c r="O39" s="73" t="s">
        <v>2</v>
      </c>
      <c r="P39" s="73"/>
      <c r="R39" s="68" t="s">
        <v>387</v>
      </c>
      <c r="S39" s="68"/>
    </row>
    <row r="40" spans="1:21" x14ac:dyDescent="0.25">
      <c r="A40" s="1" t="s">
        <v>502</v>
      </c>
      <c r="B40" s="1">
        <v>2</v>
      </c>
      <c r="C40" s="1" t="s">
        <v>557</v>
      </c>
      <c r="D40" s="1" t="s">
        <v>663</v>
      </c>
      <c r="E40" s="1" t="s">
        <v>651</v>
      </c>
      <c r="F40" s="32">
        <v>28000</v>
      </c>
      <c r="G40" s="32">
        <v>1500</v>
      </c>
      <c r="H40" s="32">
        <f>SUM(F40,G40)*B40</f>
        <v>59000</v>
      </c>
      <c r="I40" s="1" t="s">
        <v>694</v>
      </c>
      <c r="J40" s="1" t="s">
        <v>707</v>
      </c>
      <c r="L40" s="37" t="s">
        <v>513</v>
      </c>
      <c r="M40" s="37" t="s">
        <v>514</v>
      </c>
      <c r="O40" s="39" t="s">
        <v>519</v>
      </c>
      <c r="P40" s="39" t="s">
        <v>2</v>
      </c>
      <c r="R40" s="40" t="s">
        <v>522</v>
      </c>
      <c r="S40" s="40" t="s">
        <v>523</v>
      </c>
    </row>
    <row r="41" spans="1:21" x14ac:dyDescent="0.25">
      <c r="A41" s="1" t="s">
        <v>503</v>
      </c>
      <c r="B41" s="1">
        <v>1</v>
      </c>
      <c r="C41" s="1" t="s">
        <v>628</v>
      </c>
      <c r="D41" s="1" t="s">
        <v>662</v>
      </c>
      <c r="E41" s="1" t="s">
        <v>647</v>
      </c>
      <c r="F41" s="32">
        <v>20000</v>
      </c>
      <c r="G41" s="32">
        <v>2000</v>
      </c>
      <c r="H41" s="32">
        <v>88000</v>
      </c>
      <c r="I41" s="1" t="s">
        <v>694</v>
      </c>
      <c r="J41" s="1" t="s">
        <v>701</v>
      </c>
      <c r="L41" s="1" t="s">
        <v>517</v>
      </c>
      <c r="M41" s="1" t="s">
        <v>515</v>
      </c>
      <c r="O41" s="1" t="s">
        <v>520</v>
      </c>
      <c r="P41" s="1" t="s">
        <v>6</v>
      </c>
      <c r="R41" s="1" t="s">
        <v>471</v>
      </c>
      <c r="S41" s="1" t="s">
        <v>386</v>
      </c>
    </row>
    <row r="42" spans="1:21" x14ac:dyDescent="0.25">
      <c r="A42" s="1" t="s">
        <v>503</v>
      </c>
      <c r="B42" s="1">
        <v>3</v>
      </c>
      <c r="C42" s="1" t="s">
        <v>625</v>
      </c>
      <c r="D42" s="1" t="s">
        <v>662</v>
      </c>
      <c r="E42" s="1" t="s">
        <v>649</v>
      </c>
      <c r="F42" s="32">
        <v>20000</v>
      </c>
      <c r="G42" s="32">
        <v>2000</v>
      </c>
      <c r="H42" s="32">
        <v>88000</v>
      </c>
      <c r="I42" s="1" t="s">
        <v>694</v>
      </c>
      <c r="J42" s="1" t="s">
        <v>701</v>
      </c>
      <c r="L42" s="1" t="s">
        <v>518</v>
      </c>
      <c r="M42" s="1" t="s">
        <v>516</v>
      </c>
      <c r="O42" s="1" t="s">
        <v>521</v>
      </c>
      <c r="P42" s="1" t="s">
        <v>473</v>
      </c>
      <c r="R42" s="1" t="s">
        <v>472</v>
      </c>
      <c r="S42" s="1" t="s">
        <v>467</v>
      </c>
    </row>
    <row r="43" spans="1:21" x14ac:dyDescent="0.25">
      <c r="A43" s="1" t="s">
        <v>504</v>
      </c>
      <c r="B43" s="1">
        <v>3</v>
      </c>
      <c r="C43" s="1" t="s">
        <v>566</v>
      </c>
      <c r="D43" s="1" t="s">
        <v>663</v>
      </c>
      <c r="E43" s="1" t="s">
        <v>655</v>
      </c>
      <c r="F43" s="32">
        <v>17000</v>
      </c>
      <c r="G43" s="32">
        <v>1500</v>
      </c>
      <c r="H43" s="32">
        <f>SUM(F43,G43)*B43</f>
        <v>55500</v>
      </c>
      <c r="I43" s="1" t="s">
        <v>696</v>
      </c>
      <c r="J43" s="1" t="s">
        <v>711</v>
      </c>
    </row>
    <row r="44" spans="1:21" x14ac:dyDescent="0.25">
      <c r="A44" s="1" t="s">
        <v>505</v>
      </c>
      <c r="B44" s="1">
        <v>2</v>
      </c>
      <c r="C44" s="1" t="s">
        <v>575</v>
      </c>
      <c r="D44" s="1" t="s">
        <v>663</v>
      </c>
      <c r="E44" s="1" t="s">
        <v>640</v>
      </c>
      <c r="F44" s="32">
        <v>30000</v>
      </c>
      <c r="G44" s="32">
        <v>2500</v>
      </c>
      <c r="H44" s="32">
        <f>SUM(F44,G44)*B44</f>
        <v>65000</v>
      </c>
      <c r="I44" s="1" t="s">
        <v>692</v>
      </c>
      <c r="J44" s="1" t="s">
        <v>709</v>
      </c>
      <c r="N44" s="64" t="s">
        <v>264</v>
      </c>
      <c r="O44" s="64"/>
      <c r="P44" s="64"/>
      <c r="R44" s="65" t="s">
        <v>82</v>
      </c>
      <c r="S44" s="66"/>
    </row>
    <row r="45" spans="1:21" x14ac:dyDescent="0.25">
      <c r="A45" s="1" t="s">
        <v>506</v>
      </c>
      <c r="B45" s="1">
        <v>1</v>
      </c>
      <c r="C45" s="1" t="s">
        <v>583</v>
      </c>
      <c r="D45" s="1" t="s">
        <v>662</v>
      </c>
      <c r="E45" s="1" t="s">
        <v>640</v>
      </c>
      <c r="F45" s="32">
        <v>17000</v>
      </c>
      <c r="G45" s="32">
        <v>2500</v>
      </c>
      <c r="H45" s="32">
        <v>35500</v>
      </c>
      <c r="I45" s="1" t="s">
        <v>694</v>
      </c>
      <c r="J45" s="1" t="s">
        <v>701</v>
      </c>
      <c r="N45" s="44" t="s">
        <v>636</v>
      </c>
      <c r="O45" s="44" t="s">
        <v>264</v>
      </c>
      <c r="P45" s="44" t="s">
        <v>637</v>
      </c>
      <c r="R45" s="45" t="s">
        <v>656</v>
      </c>
      <c r="S45" s="45" t="s">
        <v>657</v>
      </c>
    </row>
    <row r="46" spans="1:21" x14ac:dyDescent="0.25">
      <c r="A46" s="1" t="s">
        <v>506</v>
      </c>
      <c r="B46" s="1">
        <v>1</v>
      </c>
      <c r="C46" s="1" t="s">
        <v>576</v>
      </c>
      <c r="D46" s="1" t="s">
        <v>661</v>
      </c>
      <c r="E46" s="1" t="s">
        <v>641</v>
      </c>
      <c r="F46" s="32">
        <v>15000</v>
      </c>
      <c r="G46" s="32">
        <v>1000</v>
      </c>
      <c r="H46" s="32">
        <v>35500</v>
      </c>
      <c r="I46" s="1" t="s">
        <v>694</v>
      </c>
      <c r="J46" s="1" t="s">
        <v>701</v>
      </c>
      <c r="N46" s="1" t="s">
        <v>640</v>
      </c>
      <c r="O46" s="19" t="s">
        <v>5</v>
      </c>
      <c r="P46" s="20">
        <v>2500</v>
      </c>
      <c r="R46" s="1" t="s">
        <v>661</v>
      </c>
      <c r="S46" s="1" t="s">
        <v>658</v>
      </c>
    </row>
    <row r="47" spans="1:21" x14ac:dyDescent="0.25">
      <c r="A47" s="1" t="s">
        <v>507</v>
      </c>
      <c r="B47" s="1">
        <v>2</v>
      </c>
      <c r="C47" s="1" t="s">
        <v>620</v>
      </c>
      <c r="D47" s="1" t="s">
        <v>663</v>
      </c>
      <c r="E47" s="1" t="s">
        <v>642</v>
      </c>
      <c r="F47" s="32">
        <v>18000</v>
      </c>
      <c r="G47" s="32">
        <v>2000</v>
      </c>
      <c r="H47" s="32">
        <v>58000</v>
      </c>
      <c r="I47" s="1" t="s">
        <v>694</v>
      </c>
      <c r="J47" s="1" t="s">
        <v>701</v>
      </c>
      <c r="N47" s="1" t="s">
        <v>641</v>
      </c>
      <c r="O47" s="19" t="s">
        <v>265</v>
      </c>
      <c r="P47" s="20">
        <v>1000</v>
      </c>
      <c r="R47" s="1" t="s">
        <v>662</v>
      </c>
      <c r="S47" s="1" t="s">
        <v>659</v>
      </c>
    </row>
    <row r="48" spans="1:21" x14ac:dyDescent="0.25">
      <c r="A48" s="1" t="s">
        <v>507</v>
      </c>
      <c r="B48" s="1">
        <v>1</v>
      </c>
      <c r="C48" s="1" t="s">
        <v>635</v>
      </c>
      <c r="D48" s="1" t="s">
        <v>663</v>
      </c>
      <c r="E48" s="1" t="s">
        <v>644</v>
      </c>
      <c r="F48" s="32">
        <v>16000</v>
      </c>
      <c r="G48" s="32">
        <v>2000</v>
      </c>
      <c r="H48" s="32">
        <v>58000</v>
      </c>
      <c r="I48" s="1" t="s">
        <v>694</v>
      </c>
      <c r="J48" s="1" t="s">
        <v>701</v>
      </c>
      <c r="N48" s="1" t="s">
        <v>642</v>
      </c>
      <c r="O48" s="19" t="s">
        <v>266</v>
      </c>
      <c r="P48" s="20">
        <v>2000</v>
      </c>
      <c r="R48" s="1" t="s">
        <v>663</v>
      </c>
      <c r="S48" s="1" t="s">
        <v>660</v>
      </c>
    </row>
    <row r="49" spans="1:16" x14ac:dyDescent="0.25">
      <c r="A49" s="1" t="s">
        <v>508</v>
      </c>
      <c r="B49" s="1">
        <v>1</v>
      </c>
      <c r="C49" s="1" t="s">
        <v>533</v>
      </c>
      <c r="D49" s="1" t="s">
        <v>663</v>
      </c>
      <c r="E49" s="1" t="s">
        <v>642</v>
      </c>
      <c r="F49" s="32">
        <v>25000</v>
      </c>
      <c r="G49" s="32">
        <v>2000</v>
      </c>
      <c r="H49" s="32">
        <f>SUM(F49,G49)*B49</f>
        <v>27000</v>
      </c>
      <c r="I49" s="1" t="s">
        <v>688</v>
      </c>
      <c r="J49" s="1" t="s">
        <v>709</v>
      </c>
      <c r="N49" s="1" t="s">
        <v>643</v>
      </c>
      <c r="O49" s="19" t="s">
        <v>267</v>
      </c>
      <c r="P49" s="20">
        <v>1500</v>
      </c>
    </row>
    <row r="50" spans="1:16" x14ac:dyDescent="0.25">
      <c r="N50" s="1" t="s">
        <v>644</v>
      </c>
      <c r="O50" s="19" t="s">
        <v>14</v>
      </c>
      <c r="P50" s="20">
        <v>2000</v>
      </c>
    </row>
    <row r="51" spans="1:16" x14ac:dyDescent="0.25">
      <c r="A51" s="68" t="s">
        <v>81</v>
      </c>
      <c r="B51" s="68"/>
      <c r="C51" s="68"/>
      <c r="D51" s="68"/>
      <c r="F51" s="67" t="s">
        <v>664</v>
      </c>
      <c r="G51" s="67"/>
      <c r="N51" s="1" t="s">
        <v>645</v>
      </c>
      <c r="O51" s="19" t="s">
        <v>16</v>
      </c>
      <c r="P51" s="20">
        <v>1500</v>
      </c>
    </row>
    <row r="52" spans="1:16" x14ac:dyDescent="0.25">
      <c r="A52" s="40" t="s">
        <v>524</v>
      </c>
      <c r="B52" s="40" t="s">
        <v>638</v>
      </c>
      <c r="C52" s="40" t="s">
        <v>639</v>
      </c>
      <c r="D52" s="40" t="s">
        <v>665</v>
      </c>
      <c r="F52" s="46" t="s">
        <v>665</v>
      </c>
      <c r="G52" s="46" t="s">
        <v>664</v>
      </c>
      <c r="N52" s="1" t="s">
        <v>646</v>
      </c>
      <c r="O52" s="19" t="s">
        <v>268</v>
      </c>
      <c r="P52" s="20">
        <v>1000</v>
      </c>
    </row>
    <row r="53" spans="1:16" x14ac:dyDescent="0.25">
      <c r="A53" s="1" t="s">
        <v>525</v>
      </c>
      <c r="B53" s="41" t="s">
        <v>152</v>
      </c>
      <c r="C53" s="42">
        <v>18000</v>
      </c>
      <c r="D53" s="1" t="s">
        <v>674</v>
      </c>
      <c r="F53" s="1" t="s">
        <v>674</v>
      </c>
      <c r="G53" s="1" t="s">
        <v>671</v>
      </c>
      <c r="N53" s="1" t="s">
        <v>647</v>
      </c>
      <c r="O53" s="19" t="s">
        <v>22</v>
      </c>
      <c r="P53" s="20">
        <v>2000</v>
      </c>
    </row>
    <row r="54" spans="1:16" x14ac:dyDescent="0.25">
      <c r="A54" s="1" t="s">
        <v>526</v>
      </c>
      <c r="B54" s="41" t="s">
        <v>153</v>
      </c>
      <c r="C54" s="42">
        <v>20000</v>
      </c>
      <c r="D54" s="1" t="s">
        <v>674</v>
      </c>
      <c r="F54" s="1" t="s">
        <v>675</v>
      </c>
      <c r="G54" s="1" t="s">
        <v>666</v>
      </c>
      <c r="N54" s="1" t="s">
        <v>648</v>
      </c>
      <c r="O54" s="19" t="s">
        <v>269</v>
      </c>
      <c r="P54" s="20">
        <v>1500</v>
      </c>
    </row>
    <row r="55" spans="1:16" x14ac:dyDescent="0.25">
      <c r="A55" s="1" t="s">
        <v>527</v>
      </c>
      <c r="B55" s="41" t="s">
        <v>154</v>
      </c>
      <c r="C55" s="42">
        <v>23000</v>
      </c>
      <c r="D55" s="1" t="s">
        <v>674</v>
      </c>
      <c r="F55" s="1" t="s">
        <v>676</v>
      </c>
      <c r="G55" s="1" t="s">
        <v>667</v>
      </c>
      <c r="N55" s="1" t="s">
        <v>649</v>
      </c>
      <c r="O55" s="21" t="s">
        <v>25</v>
      </c>
      <c r="P55" s="20">
        <v>2000</v>
      </c>
    </row>
    <row r="56" spans="1:16" x14ac:dyDescent="0.25">
      <c r="A56" s="1" t="s">
        <v>528</v>
      </c>
      <c r="B56" s="41" t="s">
        <v>155</v>
      </c>
      <c r="C56" s="42">
        <v>20000</v>
      </c>
      <c r="D56" s="1" t="s">
        <v>674</v>
      </c>
      <c r="F56" s="1" t="s">
        <v>677</v>
      </c>
      <c r="G56" s="1" t="s">
        <v>668</v>
      </c>
      <c r="N56" s="1" t="s">
        <v>650</v>
      </c>
      <c r="O56" s="21" t="s">
        <v>270</v>
      </c>
      <c r="P56" s="20">
        <v>2000</v>
      </c>
    </row>
    <row r="57" spans="1:16" x14ac:dyDescent="0.25">
      <c r="A57" s="1" t="s">
        <v>529</v>
      </c>
      <c r="B57" s="41" t="s">
        <v>156</v>
      </c>
      <c r="C57" s="42">
        <v>23000</v>
      </c>
      <c r="D57" s="1" t="s">
        <v>674</v>
      </c>
      <c r="F57" s="1" t="s">
        <v>678</v>
      </c>
      <c r="G57" s="1" t="s">
        <v>683</v>
      </c>
      <c r="N57" s="1" t="s">
        <v>651</v>
      </c>
      <c r="O57" s="21" t="s">
        <v>20</v>
      </c>
      <c r="P57" s="20">
        <v>1500</v>
      </c>
    </row>
    <row r="58" spans="1:16" x14ac:dyDescent="0.25">
      <c r="A58" s="1" t="s">
        <v>530</v>
      </c>
      <c r="B58" s="41" t="s">
        <v>157</v>
      </c>
      <c r="C58" s="42">
        <v>26000</v>
      </c>
      <c r="D58" s="1" t="s">
        <v>674</v>
      </c>
      <c r="F58" s="1" t="s">
        <v>679</v>
      </c>
      <c r="G58" s="1" t="s">
        <v>669</v>
      </c>
      <c r="N58" s="1" t="s">
        <v>652</v>
      </c>
      <c r="O58" s="21" t="s">
        <v>28</v>
      </c>
      <c r="P58" s="20">
        <v>1500</v>
      </c>
    </row>
    <row r="59" spans="1:16" x14ac:dyDescent="0.25">
      <c r="A59" s="1" t="s">
        <v>531</v>
      </c>
      <c r="B59" s="41" t="s">
        <v>158</v>
      </c>
      <c r="C59" s="42">
        <v>15000</v>
      </c>
      <c r="D59" s="1" t="s">
        <v>674</v>
      </c>
      <c r="F59" s="1" t="s">
        <v>680</v>
      </c>
      <c r="G59" s="1" t="s">
        <v>670</v>
      </c>
      <c r="N59" s="1" t="s">
        <v>653</v>
      </c>
      <c r="O59" s="21" t="s">
        <v>271</v>
      </c>
      <c r="P59" s="20">
        <v>1500</v>
      </c>
    </row>
    <row r="60" spans="1:16" x14ac:dyDescent="0.25">
      <c r="A60" s="1" t="s">
        <v>532</v>
      </c>
      <c r="B60" s="41" t="s">
        <v>159</v>
      </c>
      <c r="C60" s="42">
        <v>20000</v>
      </c>
      <c r="D60" s="1" t="s">
        <v>674</v>
      </c>
      <c r="F60" s="1" t="s">
        <v>681</v>
      </c>
      <c r="G60" s="1" t="s">
        <v>672</v>
      </c>
      <c r="N60" s="1" t="s">
        <v>654</v>
      </c>
      <c r="O60" s="21" t="s">
        <v>272</v>
      </c>
      <c r="P60" s="20">
        <v>1000</v>
      </c>
    </row>
    <row r="61" spans="1:16" x14ac:dyDescent="0.25">
      <c r="A61" s="1" t="s">
        <v>533</v>
      </c>
      <c r="B61" s="41" t="s">
        <v>160</v>
      </c>
      <c r="C61" s="42">
        <v>25000</v>
      </c>
      <c r="D61" s="1" t="s">
        <v>674</v>
      </c>
      <c r="F61" s="1" t="s">
        <v>682</v>
      </c>
      <c r="G61" s="1" t="s">
        <v>673</v>
      </c>
      <c r="N61" s="1" t="s">
        <v>655</v>
      </c>
      <c r="O61" s="21" t="s">
        <v>273</v>
      </c>
      <c r="P61" s="20">
        <v>1500</v>
      </c>
    </row>
    <row r="62" spans="1:16" x14ac:dyDescent="0.25">
      <c r="A62" s="1" t="s">
        <v>534</v>
      </c>
      <c r="B62" s="41" t="s">
        <v>162</v>
      </c>
      <c r="C62" s="42">
        <v>10000</v>
      </c>
      <c r="D62" s="1" t="s">
        <v>685</v>
      </c>
      <c r="F62" s="1" t="s">
        <v>685</v>
      </c>
      <c r="G62" s="1" t="s">
        <v>684</v>
      </c>
    </row>
    <row r="63" spans="1:16" x14ac:dyDescent="0.25">
      <c r="A63" s="1" t="s">
        <v>535</v>
      </c>
      <c r="B63" s="41" t="s">
        <v>163</v>
      </c>
      <c r="C63" s="42">
        <v>16000</v>
      </c>
      <c r="D63" s="1" t="s">
        <v>685</v>
      </c>
    </row>
    <row r="64" spans="1:16" x14ac:dyDescent="0.25">
      <c r="A64" s="1" t="s">
        <v>536</v>
      </c>
      <c r="B64" s="41" t="s">
        <v>161</v>
      </c>
      <c r="C64" s="42">
        <v>22000</v>
      </c>
      <c r="D64" s="1" t="s">
        <v>685</v>
      </c>
    </row>
    <row r="65" spans="1:16" x14ac:dyDescent="0.25">
      <c r="A65" s="1" t="s">
        <v>537</v>
      </c>
      <c r="B65" s="41" t="s">
        <v>164</v>
      </c>
      <c r="C65" s="42">
        <v>10000</v>
      </c>
      <c r="D65" s="1" t="s">
        <v>685</v>
      </c>
    </row>
    <row r="66" spans="1:16" x14ac:dyDescent="0.25">
      <c r="A66" s="1" t="s">
        <v>538</v>
      </c>
      <c r="B66" s="41" t="s">
        <v>165</v>
      </c>
      <c r="C66" s="42">
        <v>16000</v>
      </c>
      <c r="D66" s="1" t="s">
        <v>685</v>
      </c>
      <c r="F66" s="69" t="s">
        <v>698</v>
      </c>
      <c r="G66" s="69"/>
      <c r="J66" s="63" t="s">
        <v>806</v>
      </c>
      <c r="K66" s="63"/>
      <c r="L66" s="63"/>
      <c r="M66" s="63"/>
      <c r="N66" s="63"/>
      <c r="O66" s="63"/>
      <c r="P66" s="63"/>
    </row>
    <row r="67" spans="1:16" x14ac:dyDescent="0.25">
      <c r="A67" s="1" t="s">
        <v>539</v>
      </c>
      <c r="B67" s="41" t="s">
        <v>166</v>
      </c>
      <c r="C67" s="42">
        <v>22000</v>
      </c>
      <c r="D67" s="1" t="s">
        <v>685</v>
      </c>
      <c r="F67" s="47" t="s">
        <v>686</v>
      </c>
      <c r="G67" s="47" t="s">
        <v>687</v>
      </c>
      <c r="J67" s="39" t="s">
        <v>782</v>
      </c>
      <c r="K67" s="39" t="s">
        <v>783</v>
      </c>
      <c r="L67" s="39" t="s">
        <v>784</v>
      </c>
      <c r="M67" s="39" t="s">
        <v>785</v>
      </c>
      <c r="N67" s="39" t="s">
        <v>786</v>
      </c>
      <c r="O67" s="39" t="s">
        <v>787</v>
      </c>
      <c r="P67" s="39" t="s">
        <v>687</v>
      </c>
    </row>
    <row r="68" spans="1:16" x14ac:dyDescent="0.25">
      <c r="A68" s="1" t="s">
        <v>540</v>
      </c>
      <c r="B68" s="41" t="s">
        <v>167</v>
      </c>
      <c r="C68" s="42">
        <v>10000</v>
      </c>
      <c r="D68" s="1" t="s">
        <v>685</v>
      </c>
      <c r="F68" s="1" t="s">
        <v>688</v>
      </c>
      <c r="G68" s="1" t="s">
        <v>689</v>
      </c>
      <c r="J68" s="1" t="s">
        <v>788</v>
      </c>
      <c r="K68" s="1" t="s">
        <v>436</v>
      </c>
      <c r="L68" s="1" t="s">
        <v>789</v>
      </c>
      <c r="M68" s="1" t="s">
        <v>477</v>
      </c>
      <c r="N68" s="1" t="s">
        <v>790</v>
      </c>
      <c r="O68" s="2">
        <v>46267</v>
      </c>
      <c r="P68" s="1" t="s">
        <v>791</v>
      </c>
    </row>
    <row r="69" spans="1:16" x14ac:dyDescent="0.25">
      <c r="A69" s="1" t="s">
        <v>541</v>
      </c>
      <c r="B69" s="41" t="s">
        <v>168</v>
      </c>
      <c r="C69" s="42">
        <v>16000</v>
      </c>
      <c r="D69" s="1" t="s">
        <v>685</v>
      </c>
      <c r="F69" s="1" t="s">
        <v>690</v>
      </c>
      <c r="G69" s="1" t="s">
        <v>691</v>
      </c>
      <c r="J69" s="1" t="s">
        <v>792</v>
      </c>
      <c r="K69" s="1" t="s">
        <v>440</v>
      </c>
      <c r="L69" s="1" t="s">
        <v>793</v>
      </c>
      <c r="M69" s="1" t="s">
        <v>81</v>
      </c>
      <c r="N69" s="1" t="s">
        <v>794</v>
      </c>
      <c r="O69" s="2">
        <v>46269</v>
      </c>
      <c r="P69" s="1" t="s">
        <v>689</v>
      </c>
    </row>
    <row r="70" spans="1:16" x14ac:dyDescent="0.25">
      <c r="A70" s="1" t="s">
        <v>542</v>
      </c>
      <c r="B70" s="41" t="s">
        <v>169</v>
      </c>
      <c r="C70" s="42">
        <v>22000</v>
      </c>
      <c r="D70" s="1" t="s">
        <v>677</v>
      </c>
      <c r="F70" s="1" t="s">
        <v>692</v>
      </c>
      <c r="G70" s="1" t="s">
        <v>693</v>
      </c>
      <c r="J70" s="1" t="s">
        <v>795</v>
      </c>
      <c r="K70" s="1" t="s">
        <v>443</v>
      </c>
      <c r="L70" s="1" t="s">
        <v>796</v>
      </c>
      <c r="M70" s="1" t="s">
        <v>797</v>
      </c>
      <c r="N70" s="1" t="s">
        <v>798</v>
      </c>
      <c r="O70" s="2">
        <v>46271</v>
      </c>
      <c r="P70" s="1" t="s">
        <v>799</v>
      </c>
    </row>
    <row r="71" spans="1:16" x14ac:dyDescent="0.25">
      <c r="A71" s="1" t="s">
        <v>543</v>
      </c>
      <c r="B71" s="41" t="s">
        <v>170</v>
      </c>
      <c r="C71" s="42">
        <v>15000</v>
      </c>
      <c r="D71" s="1" t="s">
        <v>677</v>
      </c>
      <c r="F71" s="1" t="s">
        <v>694</v>
      </c>
      <c r="G71" s="1" t="s">
        <v>695</v>
      </c>
      <c r="J71" s="1" t="s">
        <v>800</v>
      </c>
      <c r="K71" s="1" t="s">
        <v>465</v>
      </c>
      <c r="L71" s="1" t="s">
        <v>789</v>
      </c>
      <c r="M71" s="1" t="s">
        <v>477</v>
      </c>
      <c r="N71" s="1" t="s">
        <v>790</v>
      </c>
      <c r="O71" s="2">
        <v>46273</v>
      </c>
      <c r="P71" s="1" t="s">
        <v>791</v>
      </c>
    </row>
    <row r="72" spans="1:16" x14ac:dyDescent="0.25">
      <c r="A72" s="1" t="s">
        <v>544</v>
      </c>
      <c r="B72" s="41" t="s">
        <v>171</v>
      </c>
      <c r="C72" s="42">
        <v>17000</v>
      </c>
      <c r="D72" s="1" t="s">
        <v>677</v>
      </c>
      <c r="F72" s="1" t="s">
        <v>696</v>
      </c>
      <c r="G72" s="1" t="s">
        <v>697</v>
      </c>
      <c r="J72" s="1" t="s">
        <v>801</v>
      </c>
      <c r="K72" s="1" t="s">
        <v>455</v>
      </c>
      <c r="L72" s="1" t="s">
        <v>793</v>
      </c>
      <c r="M72" s="1" t="s">
        <v>81</v>
      </c>
      <c r="N72" s="1" t="s">
        <v>794</v>
      </c>
      <c r="O72" s="2">
        <v>46275</v>
      </c>
      <c r="P72" s="1" t="s">
        <v>689</v>
      </c>
    </row>
    <row r="73" spans="1:16" x14ac:dyDescent="0.25">
      <c r="A73" s="1" t="s">
        <v>545</v>
      </c>
      <c r="B73" s="41" t="s">
        <v>172</v>
      </c>
      <c r="C73" s="42">
        <v>19000</v>
      </c>
      <c r="D73" s="1" t="s">
        <v>677</v>
      </c>
      <c r="J73" s="1" t="s">
        <v>802</v>
      </c>
      <c r="K73" s="1" t="s">
        <v>444</v>
      </c>
      <c r="L73" s="1" t="s">
        <v>796</v>
      </c>
      <c r="M73" s="1" t="s">
        <v>797</v>
      </c>
      <c r="N73" s="1" t="s">
        <v>798</v>
      </c>
      <c r="O73" s="2">
        <v>46277</v>
      </c>
      <c r="P73" s="1" t="s">
        <v>799</v>
      </c>
    </row>
    <row r="74" spans="1:16" x14ac:dyDescent="0.25">
      <c r="A74" s="1" t="s">
        <v>546</v>
      </c>
      <c r="B74" s="41" t="s">
        <v>173</v>
      </c>
      <c r="C74" s="42">
        <v>15000</v>
      </c>
      <c r="D74" s="1" t="s">
        <v>677</v>
      </c>
      <c r="J74" s="1" t="s">
        <v>803</v>
      </c>
      <c r="K74" s="1" t="s">
        <v>460</v>
      </c>
      <c r="L74" s="1" t="s">
        <v>789</v>
      </c>
      <c r="M74" s="1" t="s">
        <v>477</v>
      </c>
      <c r="N74" s="1" t="s">
        <v>790</v>
      </c>
      <c r="O74" s="2">
        <v>46279</v>
      </c>
      <c r="P74" s="1" t="s">
        <v>791</v>
      </c>
    </row>
    <row r="75" spans="1:16" x14ac:dyDescent="0.25">
      <c r="A75" s="1" t="s">
        <v>547</v>
      </c>
      <c r="B75" s="41" t="s">
        <v>175</v>
      </c>
      <c r="C75" s="42">
        <v>17000</v>
      </c>
      <c r="D75" s="1" t="s">
        <v>677</v>
      </c>
      <c r="J75" s="1" t="s">
        <v>804</v>
      </c>
      <c r="K75" s="1" t="s">
        <v>451</v>
      </c>
      <c r="L75" s="1" t="s">
        <v>793</v>
      </c>
      <c r="M75" s="1" t="s">
        <v>81</v>
      </c>
      <c r="N75" s="1" t="s">
        <v>794</v>
      </c>
      <c r="O75" s="2">
        <v>46281</v>
      </c>
      <c r="P75" s="1" t="s">
        <v>689</v>
      </c>
    </row>
    <row r="76" spans="1:16" x14ac:dyDescent="0.25">
      <c r="A76" s="1" t="s">
        <v>548</v>
      </c>
      <c r="B76" s="41" t="s">
        <v>174</v>
      </c>
      <c r="C76" s="42">
        <v>19000</v>
      </c>
      <c r="D76" s="1" t="s">
        <v>677</v>
      </c>
      <c r="J76" s="1" t="s">
        <v>805</v>
      </c>
      <c r="K76" s="1" t="s">
        <v>446</v>
      </c>
      <c r="L76" s="1" t="s">
        <v>796</v>
      </c>
      <c r="M76" s="1" t="s">
        <v>797</v>
      </c>
      <c r="N76" s="1" t="s">
        <v>798</v>
      </c>
      <c r="O76" s="2">
        <v>46283</v>
      </c>
      <c r="P76" s="1" t="s">
        <v>799</v>
      </c>
    </row>
    <row r="77" spans="1:16" x14ac:dyDescent="0.25">
      <c r="A77" s="1" t="s">
        <v>549</v>
      </c>
      <c r="B77" s="41" t="s">
        <v>176</v>
      </c>
      <c r="C77" s="42">
        <v>15000</v>
      </c>
      <c r="D77" s="1" t="s">
        <v>677</v>
      </c>
      <c r="F77" s="55" t="s">
        <v>713</v>
      </c>
      <c r="G77" s="55"/>
      <c r="L77" s="27"/>
    </row>
    <row r="78" spans="1:16" x14ac:dyDescent="0.25">
      <c r="A78" s="1" t="s">
        <v>550</v>
      </c>
      <c r="B78" s="41" t="s">
        <v>177</v>
      </c>
      <c r="C78" s="42">
        <v>17000</v>
      </c>
      <c r="D78" s="1" t="s">
        <v>677</v>
      </c>
      <c r="F78" s="48" t="s">
        <v>699</v>
      </c>
      <c r="G78" s="48" t="s">
        <v>700</v>
      </c>
      <c r="L78" s="27"/>
    </row>
    <row r="79" spans="1:16" x14ac:dyDescent="0.25">
      <c r="A79" s="1" t="s">
        <v>551</v>
      </c>
      <c r="B79" s="41" t="s">
        <v>178</v>
      </c>
      <c r="C79" s="42">
        <v>19000</v>
      </c>
      <c r="D79" s="1" t="s">
        <v>677</v>
      </c>
      <c r="F79" s="1" t="s">
        <v>701</v>
      </c>
      <c r="G79" s="1" t="s">
        <v>702</v>
      </c>
      <c r="L79" s="27"/>
    </row>
    <row r="80" spans="1:16" x14ac:dyDescent="0.25">
      <c r="A80" s="1" t="s">
        <v>552</v>
      </c>
      <c r="B80" s="41" t="s">
        <v>179</v>
      </c>
      <c r="C80" s="42">
        <v>20000</v>
      </c>
      <c r="D80" s="1" t="s">
        <v>675</v>
      </c>
      <c r="F80" s="1" t="s">
        <v>703</v>
      </c>
      <c r="G80" s="1" t="s">
        <v>704</v>
      </c>
      <c r="L80" s="27"/>
    </row>
    <row r="81" spans="1:12" x14ac:dyDescent="0.25">
      <c r="A81" s="1" t="s">
        <v>553</v>
      </c>
      <c r="B81" s="41" t="s">
        <v>180</v>
      </c>
      <c r="C81" s="42">
        <v>23000</v>
      </c>
      <c r="D81" s="1" t="s">
        <v>675</v>
      </c>
      <c r="F81" s="1" t="s">
        <v>705</v>
      </c>
      <c r="G81" s="1" t="s">
        <v>706</v>
      </c>
      <c r="L81" s="27"/>
    </row>
    <row r="82" spans="1:12" x14ac:dyDescent="0.25">
      <c r="A82" s="1" t="s">
        <v>554</v>
      </c>
      <c r="B82" s="41" t="s">
        <v>181</v>
      </c>
      <c r="C82" s="42">
        <v>25000</v>
      </c>
      <c r="D82" s="1" t="s">
        <v>675</v>
      </c>
      <c r="F82" s="1" t="s">
        <v>707</v>
      </c>
      <c r="G82" s="1" t="s">
        <v>708</v>
      </c>
      <c r="L82" s="27"/>
    </row>
    <row r="83" spans="1:12" x14ac:dyDescent="0.25">
      <c r="A83" s="1" t="s">
        <v>555</v>
      </c>
      <c r="B83" s="41" t="s">
        <v>184</v>
      </c>
      <c r="C83" s="42">
        <v>20000</v>
      </c>
      <c r="D83" s="1" t="s">
        <v>676</v>
      </c>
      <c r="F83" s="1" t="s">
        <v>709</v>
      </c>
      <c r="G83" s="1" t="s">
        <v>710</v>
      </c>
      <c r="L83" s="27"/>
    </row>
    <row r="84" spans="1:12" x14ac:dyDescent="0.25">
      <c r="A84" s="1" t="s">
        <v>556</v>
      </c>
      <c r="B84" s="41" t="s">
        <v>183</v>
      </c>
      <c r="C84" s="42">
        <v>24000</v>
      </c>
      <c r="D84" s="1" t="s">
        <v>676</v>
      </c>
      <c r="F84" s="1" t="s">
        <v>711</v>
      </c>
      <c r="G84" s="1" t="s">
        <v>712</v>
      </c>
      <c r="L84" s="27"/>
    </row>
    <row r="85" spans="1:12" x14ac:dyDescent="0.25">
      <c r="A85" s="1" t="s">
        <v>557</v>
      </c>
      <c r="B85" s="41" t="s">
        <v>182</v>
      </c>
      <c r="C85" s="42">
        <v>28000</v>
      </c>
      <c r="D85" s="1" t="s">
        <v>676</v>
      </c>
      <c r="L85" s="27"/>
    </row>
    <row r="86" spans="1:12" x14ac:dyDescent="0.25">
      <c r="A86" s="1" t="s">
        <v>558</v>
      </c>
      <c r="B86" s="41" t="s">
        <v>185</v>
      </c>
      <c r="C86" s="42">
        <v>14000</v>
      </c>
      <c r="D86" s="1" t="s">
        <v>677</v>
      </c>
      <c r="L86" s="27"/>
    </row>
    <row r="87" spans="1:12" x14ac:dyDescent="0.25">
      <c r="A87" s="1" t="s">
        <v>559</v>
      </c>
      <c r="B87" s="41" t="s">
        <v>186</v>
      </c>
      <c r="C87" s="42">
        <v>16000</v>
      </c>
      <c r="D87" s="1" t="s">
        <v>677</v>
      </c>
      <c r="F87" s="57" t="s">
        <v>716</v>
      </c>
      <c r="G87" s="58"/>
      <c r="H87" s="58"/>
      <c r="I87" s="58"/>
      <c r="J87" s="59"/>
      <c r="L87" s="27"/>
    </row>
    <row r="88" spans="1:12" x14ac:dyDescent="0.25">
      <c r="A88" s="1" t="s">
        <v>560</v>
      </c>
      <c r="B88" s="41" t="s">
        <v>187</v>
      </c>
      <c r="C88" s="42">
        <v>18000</v>
      </c>
      <c r="D88" s="1" t="s">
        <v>677</v>
      </c>
      <c r="F88" s="35" t="s">
        <v>715</v>
      </c>
      <c r="G88" s="35" t="s">
        <v>714</v>
      </c>
      <c r="H88" s="49" t="s">
        <v>699</v>
      </c>
      <c r="I88" s="34" t="s">
        <v>748</v>
      </c>
      <c r="J88" s="34" t="s">
        <v>3</v>
      </c>
      <c r="L88" s="27"/>
    </row>
    <row r="89" spans="1:12" x14ac:dyDescent="0.25">
      <c r="A89" s="1" t="s">
        <v>561</v>
      </c>
      <c r="B89" s="41" t="s">
        <v>188</v>
      </c>
      <c r="C89" s="42">
        <v>13000</v>
      </c>
      <c r="D89" s="1" t="s">
        <v>677</v>
      </c>
      <c r="F89" s="1" t="s">
        <v>717</v>
      </c>
      <c r="G89" s="1" t="s">
        <v>478</v>
      </c>
      <c r="H89" s="1" t="s">
        <v>701</v>
      </c>
      <c r="I89" s="2">
        <v>46027</v>
      </c>
      <c r="J89" s="32">
        <v>68000</v>
      </c>
      <c r="K89" s="26"/>
      <c r="L89" s="27"/>
    </row>
    <row r="90" spans="1:12" x14ac:dyDescent="0.25">
      <c r="A90" s="1" t="s">
        <v>562</v>
      </c>
      <c r="B90" s="41" t="s">
        <v>189</v>
      </c>
      <c r="C90" s="42">
        <v>15000</v>
      </c>
      <c r="D90" s="1" t="s">
        <v>677</v>
      </c>
      <c r="F90" s="1" t="s">
        <v>718</v>
      </c>
      <c r="G90" s="1" t="s">
        <v>479</v>
      </c>
      <c r="H90" s="1" t="s">
        <v>709</v>
      </c>
      <c r="I90" s="2">
        <v>46034</v>
      </c>
      <c r="J90" s="32">
        <v>28000</v>
      </c>
      <c r="K90" s="26"/>
      <c r="L90" s="27"/>
    </row>
    <row r="91" spans="1:12" x14ac:dyDescent="0.25">
      <c r="A91" s="1" t="s">
        <v>563</v>
      </c>
      <c r="B91" s="41" t="s">
        <v>190</v>
      </c>
      <c r="C91" s="42">
        <v>17000</v>
      </c>
      <c r="D91" s="1" t="s">
        <v>677</v>
      </c>
      <c r="F91" s="1" t="s">
        <v>719</v>
      </c>
      <c r="G91" s="1" t="s">
        <v>480</v>
      </c>
      <c r="H91" s="1" t="s">
        <v>707</v>
      </c>
      <c r="I91" s="2">
        <v>46045</v>
      </c>
      <c r="J91" s="32">
        <v>66000</v>
      </c>
      <c r="K91" s="26"/>
      <c r="L91" s="27"/>
    </row>
    <row r="92" spans="1:12" x14ac:dyDescent="0.25">
      <c r="A92" s="1" t="s">
        <v>564</v>
      </c>
      <c r="B92" s="41" t="s">
        <v>191</v>
      </c>
      <c r="C92" s="42">
        <v>13000</v>
      </c>
      <c r="D92" s="1" t="s">
        <v>677</v>
      </c>
      <c r="F92" s="1" t="s">
        <v>720</v>
      </c>
      <c r="G92" s="1" t="s">
        <v>481</v>
      </c>
      <c r="H92" s="1" t="s">
        <v>701</v>
      </c>
      <c r="I92" s="50">
        <v>46057</v>
      </c>
      <c r="J92" s="32">
        <v>23500</v>
      </c>
      <c r="K92" s="26"/>
      <c r="L92" s="27"/>
    </row>
    <row r="93" spans="1:12" x14ac:dyDescent="0.25">
      <c r="A93" s="1" t="s">
        <v>565</v>
      </c>
      <c r="B93" s="41" t="s">
        <v>192</v>
      </c>
      <c r="C93" s="42">
        <v>15000</v>
      </c>
      <c r="D93" s="1" t="s">
        <v>677</v>
      </c>
      <c r="F93" s="1" t="s">
        <v>721</v>
      </c>
      <c r="G93" s="1" t="s">
        <v>482</v>
      </c>
      <c r="H93" s="1" t="s">
        <v>701</v>
      </c>
      <c r="I93" s="50">
        <v>46059</v>
      </c>
      <c r="J93" s="32">
        <v>70000</v>
      </c>
      <c r="K93" s="26"/>
      <c r="L93" s="27"/>
    </row>
    <row r="94" spans="1:12" x14ac:dyDescent="0.25">
      <c r="A94" s="1" t="s">
        <v>566</v>
      </c>
      <c r="B94" s="41" t="s">
        <v>193</v>
      </c>
      <c r="C94" s="42">
        <v>17000</v>
      </c>
      <c r="D94" s="1" t="s">
        <v>677</v>
      </c>
      <c r="F94" s="1" t="s">
        <v>722</v>
      </c>
      <c r="G94" s="1" t="s">
        <v>483</v>
      </c>
      <c r="H94" s="1" t="s">
        <v>707</v>
      </c>
      <c r="I94" s="50">
        <v>46080</v>
      </c>
      <c r="J94" s="32">
        <v>30000</v>
      </c>
      <c r="K94" s="26"/>
      <c r="L94" s="27"/>
    </row>
    <row r="95" spans="1:12" x14ac:dyDescent="0.25">
      <c r="A95" s="1" t="s">
        <v>567</v>
      </c>
      <c r="B95" s="41" t="s">
        <v>194</v>
      </c>
      <c r="C95" s="42">
        <v>15000</v>
      </c>
      <c r="D95" s="1" t="s">
        <v>677</v>
      </c>
      <c r="F95" s="1" t="s">
        <v>723</v>
      </c>
      <c r="G95" s="1" t="s">
        <v>484</v>
      </c>
      <c r="H95" s="1" t="s">
        <v>701</v>
      </c>
      <c r="I95" s="50">
        <v>46089</v>
      </c>
      <c r="J95" s="32">
        <v>120000</v>
      </c>
      <c r="K95" s="26"/>
      <c r="L95" s="27"/>
    </row>
    <row r="96" spans="1:12" x14ac:dyDescent="0.25">
      <c r="A96" s="1" t="s">
        <v>568</v>
      </c>
      <c r="B96" s="41" t="s">
        <v>195</v>
      </c>
      <c r="C96" s="42">
        <v>17000</v>
      </c>
      <c r="D96" s="1" t="s">
        <v>677</v>
      </c>
      <c r="F96" s="1" t="s">
        <v>724</v>
      </c>
      <c r="G96" s="1" t="s">
        <v>485</v>
      </c>
      <c r="H96" s="1" t="s">
        <v>705</v>
      </c>
      <c r="I96" s="2">
        <v>46100</v>
      </c>
      <c r="J96" s="32">
        <v>30500</v>
      </c>
      <c r="K96" s="26"/>
      <c r="L96" s="27"/>
    </row>
    <row r="97" spans="1:12" x14ac:dyDescent="0.25">
      <c r="A97" s="1" t="s">
        <v>569</v>
      </c>
      <c r="B97" s="41" t="s">
        <v>196</v>
      </c>
      <c r="C97" s="42">
        <v>19000</v>
      </c>
      <c r="D97" s="1" t="s">
        <v>677</v>
      </c>
      <c r="F97" s="1" t="s">
        <v>725</v>
      </c>
      <c r="G97" s="1" t="s">
        <v>486</v>
      </c>
      <c r="H97" s="1" t="s">
        <v>711</v>
      </c>
      <c r="I97" s="2">
        <v>46112</v>
      </c>
      <c r="J97" s="32">
        <v>78000</v>
      </c>
      <c r="K97" s="26"/>
      <c r="L97" s="27"/>
    </row>
    <row r="98" spans="1:12" x14ac:dyDescent="0.25">
      <c r="A98" s="1" t="s">
        <v>570</v>
      </c>
      <c r="B98" s="41" t="s">
        <v>197</v>
      </c>
      <c r="C98" s="42">
        <v>13000</v>
      </c>
      <c r="D98" s="1" t="s">
        <v>677</v>
      </c>
      <c r="F98" s="1" t="s">
        <v>726</v>
      </c>
      <c r="G98" s="1" t="s">
        <v>487</v>
      </c>
      <c r="H98" s="1" t="s">
        <v>705</v>
      </c>
      <c r="I98" s="2">
        <v>46119</v>
      </c>
      <c r="J98" s="32">
        <v>49000</v>
      </c>
      <c r="K98" s="26"/>
      <c r="L98" s="27"/>
    </row>
    <row r="99" spans="1:12" x14ac:dyDescent="0.25">
      <c r="A99" s="1" t="s">
        <v>571</v>
      </c>
      <c r="B99" s="41" t="s">
        <v>198</v>
      </c>
      <c r="C99" s="42">
        <v>15000</v>
      </c>
      <c r="D99" s="1" t="s">
        <v>677</v>
      </c>
      <c r="F99" s="1" t="s">
        <v>727</v>
      </c>
      <c r="G99" s="1" t="s">
        <v>488</v>
      </c>
      <c r="H99" s="1" t="s">
        <v>705</v>
      </c>
      <c r="I99" s="2">
        <v>46130</v>
      </c>
      <c r="J99" s="32">
        <v>16000</v>
      </c>
      <c r="K99" s="26"/>
      <c r="L99" s="27"/>
    </row>
    <row r="100" spans="1:12" x14ac:dyDescent="0.25">
      <c r="A100" s="1" t="s">
        <v>572</v>
      </c>
      <c r="B100" s="41" t="s">
        <v>199</v>
      </c>
      <c r="C100" s="42">
        <v>17000</v>
      </c>
      <c r="D100" s="1" t="s">
        <v>677</v>
      </c>
      <c r="F100" s="1" t="s">
        <v>728</v>
      </c>
      <c r="G100" s="1" t="s">
        <v>489</v>
      </c>
      <c r="H100" s="1" t="s">
        <v>701</v>
      </c>
      <c r="I100" s="2">
        <v>46141</v>
      </c>
      <c r="J100" s="32">
        <v>99000</v>
      </c>
      <c r="K100" s="26"/>
      <c r="L100" s="27"/>
    </row>
    <row r="101" spans="1:12" x14ac:dyDescent="0.25">
      <c r="A101" s="1" t="s">
        <v>573</v>
      </c>
      <c r="B101" s="41" t="s">
        <v>200</v>
      </c>
      <c r="C101" s="42">
        <v>20000</v>
      </c>
      <c r="D101" s="1" t="s">
        <v>678</v>
      </c>
      <c r="F101" s="1" t="s">
        <v>729</v>
      </c>
      <c r="G101" s="1" t="s">
        <v>490</v>
      </c>
      <c r="H101" s="1" t="s">
        <v>705</v>
      </c>
      <c r="I101" s="2">
        <v>46148</v>
      </c>
      <c r="J101" s="32">
        <v>26500</v>
      </c>
      <c r="K101" s="26"/>
      <c r="L101" s="27"/>
    </row>
    <row r="102" spans="1:12" ht="15.75" customHeight="1" x14ac:dyDescent="0.25">
      <c r="A102" s="1" t="s">
        <v>574</v>
      </c>
      <c r="B102" s="41" t="s">
        <v>201</v>
      </c>
      <c r="C102" s="42">
        <v>25000</v>
      </c>
      <c r="D102" s="1" t="s">
        <v>678</v>
      </c>
      <c r="F102" s="1" t="s">
        <v>730</v>
      </c>
      <c r="G102" s="1" t="s">
        <v>491</v>
      </c>
      <c r="H102" s="1" t="s">
        <v>701</v>
      </c>
      <c r="I102" s="2">
        <v>46157</v>
      </c>
      <c r="J102" s="32">
        <v>173500</v>
      </c>
      <c r="K102" s="26"/>
      <c r="L102" s="27"/>
    </row>
    <row r="103" spans="1:12" x14ac:dyDescent="0.25">
      <c r="A103" s="1" t="s">
        <v>575</v>
      </c>
      <c r="B103" s="41" t="s">
        <v>202</v>
      </c>
      <c r="C103" s="42">
        <v>30000</v>
      </c>
      <c r="D103" s="1" t="s">
        <v>678</v>
      </c>
      <c r="F103" s="1" t="s">
        <v>731</v>
      </c>
      <c r="G103" s="1" t="s">
        <v>492</v>
      </c>
      <c r="H103" s="1" t="s">
        <v>705</v>
      </c>
      <c r="I103" s="2">
        <v>46170</v>
      </c>
      <c r="J103" s="32">
        <v>31000</v>
      </c>
      <c r="K103" s="26"/>
      <c r="L103" s="27"/>
    </row>
    <row r="104" spans="1:12" x14ac:dyDescent="0.25">
      <c r="A104" s="1" t="s">
        <v>576</v>
      </c>
      <c r="B104" s="41" t="s">
        <v>203</v>
      </c>
      <c r="C104" s="42">
        <v>15000</v>
      </c>
      <c r="D104" s="1" t="s">
        <v>679</v>
      </c>
      <c r="F104" s="1" t="s">
        <v>732</v>
      </c>
      <c r="G104" s="1" t="s">
        <v>493</v>
      </c>
      <c r="H104" s="1" t="s">
        <v>705</v>
      </c>
      <c r="I104" s="2">
        <v>46176</v>
      </c>
      <c r="J104" s="32">
        <v>19500</v>
      </c>
      <c r="K104" s="26"/>
      <c r="L104" s="27"/>
    </row>
    <row r="105" spans="1:12" x14ac:dyDescent="0.25">
      <c r="A105" s="1" t="s">
        <v>577</v>
      </c>
      <c r="B105" s="41" t="s">
        <v>204</v>
      </c>
      <c r="C105" s="42">
        <v>17000</v>
      </c>
      <c r="D105" s="1" t="s">
        <v>679</v>
      </c>
      <c r="F105" s="1" t="s">
        <v>733</v>
      </c>
      <c r="G105" s="1" t="s">
        <v>494</v>
      </c>
      <c r="H105" s="1" t="s">
        <v>705</v>
      </c>
      <c r="I105" s="2">
        <v>46187</v>
      </c>
      <c r="J105" s="32">
        <v>35000</v>
      </c>
      <c r="K105" s="26"/>
      <c r="L105" s="27"/>
    </row>
    <row r="106" spans="1:12" x14ac:dyDescent="0.25">
      <c r="A106" s="1" t="s">
        <v>578</v>
      </c>
      <c r="B106" s="41" t="s">
        <v>205</v>
      </c>
      <c r="C106" s="42">
        <v>19000</v>
      </c>
      <c r="D106" s="1" t="s">
        <v>679</v>
      </c>
      <c r="F106" s="1" t="s">
        <v>734</v>
      </c>
      <c r="G106" s="1" t="s">
        <v>495</v>
      </c>
      <c r="H106" s="1" t="s">
        <v>705</v>
      </c>
      <c r="I106" s="2">
        <v>46198</v>
      </c>
      <c r="J106" s="32">
        <v>52000</v>
      </c>
      <c r="K106" s="26"/>
      <c r="L106" s="27"/>
    </row>
    <row r="107" spans="1:12" x14ac:dyDescent="0.25">
      <c r="A107" s="1" t="s">
        <v>579</v>
      </c>
      <c r="B107" s="41" t="s">
        <v>206</v>
      </c>
      <c r="C107" s="42">
        <v>15000</v>
      </c>
      <c r="D107" s="1" t="s">
        <v>679</v>
      </c>
      <c r="F107" s="1" t="s">
        <v>735</v>
      </c>
      <c r="G107" s="1" t="s">
        <v>496</v>
      </c>
      <c r="H107" s="1" t="s">
        <v>711</v>
      </c>
      <c r="I107" s="2">
        <v>46205</v>
      </c>
      <c r="J107" s="32">
        <v>52000</v>
      </c>
      <c r="K107" s="26"/>
      <c r="L107" s="27"/>
    </row>
    <row r="108" spans="1:12" x14ac:dyDescent="0.25">
      <c r="A108" s="1" t="s">
        <v>580</v>
      </c>
      <c r="B108" s="41" t="s">
        <v>207</v>
      </c>
      <c r="C108" s="42">
        <v>17000</v>
      </c>
      <c r="D108" s="1" t="s">
        <v>679</v>
      </c>
      <c r="F108" s="1" t="s">
        <v>736</v>
      </c>
      <c r="G108" s="1" t="s">
        <v>497</v>
      </c>
      <c r="H108" s="1" t="s">
        <v>707</v>
      </c>
      <c r="I108" s="2">
        <v>46220</v>
      </c>
      <c r="J108" s="32">
        <v>48000</v>
      </c>
      <c r="K108" s="26"/>
      <c r="L108" s="27"/>
    </row>
    <row r="109" spans="1:12" x14ac:dyDescent="0.25">
      <c r="A109" s="1" t="s">
        <v>581</v>
      </c>
      <c r="B109" s="41" t="s">
        <v>208</v>
      </c>
      <c r="C109" s="42">
        <v>19000</v>
      </c>
      <c r="D109" s="1" t="s">
        <v>679</v>
      </c>
      <c r="F109" s="1" t="s">
        <v>737</v>
      </c>
      <c r="G109" s="1" t="s">
        <v>498</v>
      </c>
      <c r="H109" s="1" t="s">
        <v>707</v>
      </c>
      <c r="I109" s="2">
        <v>46232</v>
      </c>
      <c r="J109" s="32">
        <v>16000</v>
      </c>
      <c r="K109" s="26"/>
      <c r="L109" s="27"/>
    </row>
    <row r="110" spans="1:12" x14ac:dyDescent="0.25">
      <c r="A110" s="1" t="s">
        <v>582</v>
      </c>
      <c r="B110" s="41" t="s">
        <v>209</v>
      </c>
      <c r="C110" s="42">
        <v>15000</v>
      </c>
      <c r="D110" s="1" t="s">
        <v>679</v>
      </c>
      <c r="F110" s="1" t="s">
        <v>738</v>
      </c>
      <c r="G110" s="1" t="s">
        <v>499</v>
      </c>
      <c r="H110" s="1" t="s">
        <v>707</v>
      </c>
      <c r="I110" s="2">
        <v>46239</v>
      </c>
      <c r="J110" s="32">
        <v>73500</v>
      </c>
      <c r="K110" s="26"/>
      <c r="L110" s="27"/>
    </row>
    <row r="111" spans="1:12" x14ac:dyDescent="0.25">
      <c r="A111" s="1" t="s">
        <v>583</v>
      </c>
      <c r="B111" s="41" t="s">
        <v>210</v>
      </c>
      <c r="C111" s="42">
        <v>17000</v>
      </c>
      <c r="D111" s="1" t="s">
        <v>679</v>
      </c>
      <c r="F111" s="1" t="s">
        <v>739</v>
      </c>
      <c r="G111" s="1" t="s">
        <v>500</v>
      </c>
      <c r="H111" s="1" t="s">
        <v>701</v>
      </c>
      <c r="I111" s="2">
        <v>46247</v>
      </c>
      <c r="J111" s="32">
        <v>311000</v>
      </c>
      <c r="K111" s="26"/>
      <c r="L111" s="27"/>
    </row>
    <row r="112" spans="1:12" x14ac:dyDescent="0.25">
      <c r="A112" s="1" t="s">
        <v>584</v>
      </c>
      <c r="B112" s="41" t="s">
        <v>211</v>
      </c>
      <c r="C112" s="42">
        <v>19000</v>
      </c>
      <c r="D112" s="1" t="s">
        <v>679</v>
      </c>
      <c r="F112" s="1" t="s">
        <v>740</v>
      </c>
      <c r="G112" s="1" t="s">
        <v>501</v>
      </c>
      <c r="H112" s="1" t="s">
        <v>711</v>
      </c>
      <c r="I112" s="2">
        <v>46258</v>
      </c>
      <c r="J112" s="32">
        <v>17500</v>
      </c>
      <c r="K112" s="26"/>
      <c r="L112" s="27"/>
    </row>
    <row r="113" spans="1:12" x14ac:dyDescent="0.25">
      <c r="A113" s="1" t="s">
        <v>585</v>
      </c>
      <c r="B113" s="41" t="s">
        <v>212</v>
      </c>
      <c r="C113" s="42">
        <v>15000</v>
      </c>
      <c r="D113" s="1" t="s">
        <v>679</v>
      </c>
      <c r="F113" s="1" t="s">
        <v>741</v>
      </c>
      <c r="G113" s="1" t="s">
        <v>502</v>
      </c>
      <c r="H113" s="1" t="s">
        <v>707</v>
      </c>
      <c r="I113" s="2">
        <v>46266</v>
      </c>
      <c r="J113" s="32">
        <v>59000</v>
      </c>
      <c r="K113" s="26"/>
      <c r="L113" s="27"/>
    </row>
    <row r="114" spans="1:12" x14ac:dyDescent="0.25">
      <c r="A114" s="1" t="s">
        <v>586</v>
      </c>
      <c r="B114" s="41" t="s">
        <v>213</v>
      </c>
      <c r="C114" s="42">
        <v>17000</v>
      </c>
      <c r="D114" s="1" t="s">
        <v>679</v>
      </c>
      <c r="F114" s="1" t="s">
        <v>742</v>
      </c>
      <c r="G114" s="1" t="s">
        <v>503</v>
      </c>
      <c r="H114" s="1" t="s">
        <v>701</v>
      </c>
      <c r="I114" s="2">
        <v>46276</v>
      </c>
      <c r="J114" s="32">
        <v>88000</v>
      </c>
      <c r="K114" s="26"/>
      <c r="L114" s="27"/>
    </row>
    <row r="115" spans="1:12" x14ac:dyDescent="0.25">
      <c r="A115" s="1" t="s">
        <v>587</v>
      </c>
      <c r="B115" s="41" t="s">
        <v>214</v>
      </c>
      <c r="C115" s="42">
        <v>19000</v>
      </c>
      <c r="D115" s="1" t="s">
        <v>679</v>
      </c>
      <c r="F115" s="1" t="s">
        <v>743</v>
      </c>
      <c r="G115" s="1" t="s">
        <v>504</v>
      </c>
      <c r="H115" s="1" t="s">
        <v>711</v>
      </c>
      <c r="I115" s="2">
        <v>46283</v>
      </c>
      <c r="J115" s="32">
        <v>55500</v>
      </c>
      <c r="K115" s="26"/>
      <c r="L115" s="27"/>
    </row>
    <row r="116" spans="1:12" x14ac:dyDescent="0.25">
      <c r="A116" s="1" t="s">
        <v>588</v>
      </c>
      <c r="B116" s="41" t="s">
        <v>215</v>
      </c>
      <c r="C116" s="42">
        <v>12000</v>
      </c>
      <c r="D116" s="1" t="s">
        <v>681</v>
      </c>
      <c r="F116" s="1" t="s">
        <v>744</v>
      </c>
      <c r="G116" s="1" t="s">
        <v>505</v>
      </c>
      <c r="H116" s="1" t="s">
        <v>709</v>
      </c>
      <c r="I116" s="2">
        <v>46287</v>
      </c>
      <c r="J116" s="32">
        <v>65000</v>
      </c>
      <c r="K116" s="26"/>
      <c r="L116" s="27"/>
    </row>
    <row r="117" spans="1:12" x14ac:dyDescent="0.25">
      <c r="A117" s="1" t="s">
        <v>589</v>
      </c>
      <c r="B117" s="41" t="s">
        <v>216</v>
      </c>
      <c r="C117" s="42">
        <v>14000</v>
      </c>
      <c r="D117" s="1" t="s">
        <v>681</v>
      </c>
      <c r="F117" s="1" t="s">
        <v>745</v>
      </c>
      <c r="G117" s="1" t="s">
        <v>506</v>
      </c>
      <c r="H117" s="1" t="s">
        <v>701</v>
      </c>
      <c r="I117" s="2">
        <v>46298</v>
      </c>
      <c r="J117" s="32">
        <v>35500</v>
      </c>
      <c r="K117" s="26"/>
      <c r="L117" s="27"/>
    </row>
    <row r="118" spans="1:12" x14ac:dyDescent="0.25">
      <c r="A118" s="1" t="s">
        <v>590</v>
      </c>
      <c r="B118" s="41" t="s">
        <v>217</v>
      </c>
      <c r="C118" s="42">
        <v>16000</v>
      </c>
      <c r="D118" s="1" t="s">
        <v>681</v>
      </c>
      <c r="F118" s="1" t="s">
        <v>746</v>
      </c>
      <c r="G118" s="1" t="s">
        <v>507</v>
      </c>
      <c r="H118" s="1" t="s">
        <v>701</v>
      </c>
      <c r="I118" s="2">
        <v>46310</v>
      </c>
      <c r="J118" s="32">
        <v>58000</v>
      </c>
      <c r="K118" s="26"/>
      <c r="L118" s="27"/>
    </row>
    <row r="119" spans="1:12" x14ac:dyDescent="0.25">
      <c r="A119" s="1" t="s">
        <v>591</v>
      </c>
      <c r="B119" s="41" t="s">
        <v>218</v>
      </c>
      <c r="C119" s="42">
        <v>12000</v>
      </c>
      <c r="D119" s="1" t="s">
        <v>681</v>
      </c>
      <c r="F119" s="1" t="s">
        <v>747</v>
      </c>
      <c r="G119" s="1" t="s">
        <v>508</v>
      </c>
      <c r="H119" s="1" t="s">
        <v>709</v>
      </c>
      <c r="I119" s="2">
        <v>46311</v>
      </c>
      <c r="J119" s="32">
        <v>27000</v>
      </c>
      <c r="K119" s="26"/>
      <c r="L119" s="27"/>
    </row>
    <row r="120" spans="1:12" x14ac:dyDescent="0.25">
      <c r="A120" s="1" t="s">
        <v>592</v>
      </c>
      <c r="B120" s="41" t="s">
        <v>219</v>
      </c>
      <c r="C120" s="42">
        <v>14000</v>
      </c>
      <c r="D120" s="1" t="s">
        <v>681</v>
      </c>
      <c r="K120" s="26"/>
      <c r="L120" s="27"/>
    </row>
    <row r="121" spans="1:12" x14ac:dyDescent="0.25">
      <c r="A121" s="1" t="s">
        <v>593</v>
      </c>
      <c r="B121" s="41" t="s">
        <v>220</v>
      </c>
      <c r="C121" s="42">
        <v>16000</v>
      </c>
      <c r="D121" s="1" t="s">
        <v>681</v>
      </c>
      <c r="F121" s="60" t="s">
        <v>749</v>
      </c>
      <c r="G121" s="61"/>
      <c r="H121" s="61"/>
      <c r="I121" s="61"/>
      <c r="J121" s="62"/>
      <c r="K121" s="26"/>
      <c r="L121" s="27"/>
    </row>
    <row r="122" spans="1:12" x14ac:dyDescent="0.25">
      <c r="A122" s="1" t="s">
        <v>594</v>
      </c>
      <c r="B122" s="41" t="s">
        <v>221</v>
      </c>
      <c r="C122" s="42">
        <v>12000</v>
      </c>
      <c r="D122" s="1" t="s">
        <v>681</v>
      </c>
      <c r="F122" s="53" t="s">
        <v>750</v>
      </c>
      <c r="G122" s="54" t="s">
        <v>509</v>
      </c>
      <c r="H122" s="53" t="s">
        <v>1</v>
      </c>
      <c r="I122" s="53" t="s">
        <v>524</v>
      </c>
      <c r="J122" s="53" t="s">
        <v>656</v>
      </c>
      <c r="K122" s="26"/>
      <c r="L122" s="27"/>
    </row>
    <row r="123" spans="1:12" x14ac:dyDescent="0.25">
      <c r="A123" s="1" t="s">
        <v>595</v>
      </c>
      <c r="B123" s="41" t="s">
        <v>222</v>
      </c>
      <c r="C123" s="42">
        <v>14000</v>
      </c>
      <c r="D123" s="1" t="s">
        <v>681</v>
      </c>
      <c r="F123" s="52" t="s">
        <v>751</v>
      </c>
      <c r="G123" s="1" t="s">
        <v>478</v>
      </c>
      <c r="H123" s="1">
        <v>2</v>
      </c>
      <c r="I123" s="1" t="s">
        <v>526</v>
      </c>
      <c r="J123" s="1" t="s">
        <v>662</v>
      </c>
      <c r="K123" s="26"/>
      <c r="L123" s="27"/>
    </row>
    <row r="124" spans="1:12" x14ac:dyDescent="0.25">
      <c r="A124" s="1" t="s">
        <v>596</v>
      </c>
      <c r="B124" s="41" t="s">
        <v>223</v>
      </c>
      <c r="C124" s="42">
        <v>16000</v>
      </c>
      <c r="D124" s="1" t="s">
        <v>681</v>
      </c>
      <c r="F124" s="52" t="s">
        <v>751</v>
      </c>
      <c r="G124" s="1" t="s">
        <v>478</v>
      </c>
      <c r="H124" s="1">
        <v>1</v>
      </c>
      <c r="I124" s="1" t="s">
        <v>539</v>
      </c>
      <c r="J124" s="1" t="s">
        <v>663</v>
      </c>
      <c r="K124" s="26"/>
      <c r="L124" s="27"/>
    </row>
    <row r="125" spans="1:12" x14ac:dyDescent="0.25">
      <c r="A125" s="1" t="s">
        <v>597</v>
      </c>
      <c r="B125" s="41" t="s">
        <v>224</v>
      </c>
      <c r="C125" s="42">
        <v>12000</v>
      </c>
      <c r="D125" s="1" t="s">
        <v>681</v>
      </c>
      <c r="F125" s="52" t="s">
        <v>752</v>
      </c>
      <c r="G125" s="1" t="s">
        <v>479</v>
      </c>
      <c r="H125" s="1">
        <v>1</v>
      </c>
      <c r="I125" s="1" t="s">
        <v>530</v>
      </c>
      <c r="J125" s="1" t="s">
        <v>663</v>
      </c>
      <c r="K125" s="26"/>
      <c r="L125" s="27"/>
    </row>
    <row r="126" spans="1:12" x14ac:dyDescent="0.25">
      <c r="A126" s="1" t="s">
        <v>598</v>
      </c>
      <c r="B126" s="41" t="s">
        <v>225</v>
      </c>
      <c r="C126" s="42">
        <v>14000</v>
      </c>
      <c r="D126" s="1" t="s">
        <v>681</v>
      </c>
      <c r="F126" s="52" t="s">
        <v>753</v>
      </c>
      <c r="G126" s="1" t="s">
        <v>480</v>
      </c>
      <c r="H126" s="1">
        <v>3</v>
      </c>
      <c r="I126" s="1" t="s">
        <v>532</v>
      </c>
      <c r="J126" s="1" t="s">
        <v>662</v>
      </c>
      <c r="K126" s="26"/>
      <c r="L126" s="27"/>
    </row>
    <row r="127" spans="1:12" x14ac:dyDescent="0.25">
      <c r="A127" s="1" t="s">
        <v>599</v>
      </c>
      <c r="B127" s="41" t="s">
        <v>226</v>
      </c>
      <c r="C127" s="42">
        <v>16000</v>
      </c>
      <c r="D127" s="1" t="s">
        <v>681</v>
      </c>
      <c r="F127" s="52" t="s">
        <v>754</v>
      </c>
      <c r="G127" s="1" t="s">
        <v>481</v>
      </c>
      <c r="H127" s="1">
        <v>1</v>
      </c>
      <c r="I127" s="1" t="s">
        <v>542</v>
      </c>
      <c r="J127" s="1" t="s">
        <v>663</v>
      </c>
      <c r="K127" s="26"/>
      <c r="L127" s="27"/>
    </row>
    <row r="128" spans="1:12" x14ac:dyDescent="0.25">
      <c r="A128" s="1" t="s">
        <v>600</v>
      </c>
      <c r="B128" s="41" t="s">
        <v>227</v>
      </c>
      <c r="C128" s="42">
        <v>17000</v>
      </c>
      <c r="D128" s="1" t="s">
        <v>680</v>
      </c>
      <c r="F128" s="52" t="s">
        <v>755</v>
      </c>
      <c r="G128" s="1" t="s">
        <v>482</v>
      </c>
      <c r="H128" s="1">
        <v>2</v>
      </c>
      <c r="I128" s="1" t="s">
        <v>553</v>
      </c>
      <c r="J128" s="1" t="s">
        <v>662</v>
      </c>
      <c r="K128" s="26"/>
      <c r="L128" s="27"/>
    </row>
    <row r="129" spans="1:12" x14ac:dyDescent="0.25">
      <c r="A129" s="1" t="s">
        <v>601</v>
      </c>
      <c r="B129" s="41" t="s">
        <v>229</v>
      </c>
      <c r="C129" s="42">
        <v>20000</v>
      </c>
      <c r="D129" s="1" t="s">
        <v>680</v>
      </c>
      <c r="F129" s="52" t="s">
        <v>755</v>
      </c>
      <c r="G129" s="1" t="s">
        <v>482</v>
      </c>
      <c r="H129" s="1">
        <v>1</v>
      </c>
      <c r="I129" s="1" t="s">
        <v>548</v>
      </c>
      <c r="J129" s="1" t="s">
        <v>663</v>
      </c>
      <c r="K129" s="26"/>
      <c r="L129" s="27"/>
    </row>
    <row r="130" spans="1:12" x14ac:dyDescent="0.25">
      <c r="A130" s="1" t="s">
        <v>602</v>
      </c>
      <c r="B130" s="41" t="s">
        <v>228</v>
      </c>
      <c r="C130" s="42">
        <v>23000</v>
      </c>
      <c r="D130" s="1" t="s">
        <v>680</v>
      </c>
      <c r="F130" s="52" t="s">
        <v>756</v>
      </c>
      <c r="G130" s="1" t="s">
        <v>483</v>
      </c>
      <c r="H130" s="1">
        <v>1</v>
      </c>
      <c r="I130" s="1" t="s">
        <v>557</v>
      </c>
      <c r="J130" s="1" t="s">
        <v>663</v>
      </c>
      <c r="K130" s="26"/>
      <c r="L130" s="27"/>
    </row>
    <row r="131" spans="1:12" x14ac:dyDescent="0.25">
      <c r="A131" s="1" t="s">
        <v>603</v>
      </c>
      <c r="B131" s="41" t="s">
        <v>230</v>
      </c>
      <c r="C131" s="42">
        <v>17000</v>
      </c>
      <c r="D131" s="1" t="s">
        <v>680</v>
      </c>
      <c r="F131" s="52" t="s">
        <v>757</v>
      </c>
      <c r="G131" s="1" t="s">
        <v>484</v>
      </c>
      <c r="H131" s="22">
        <v>2</v>
      </c>
      <c r="I131" s="1" t="s">
        <v>608</v>
      </c>
      <c r="J131" s="1" t="s">
        <v>663</v>
      </c>
      <c r="K131" s="26"/>
      <c r="L131" s="27"/>
    </row>
    <row r="132" spans="1:12" x14ac:dyDescent="0.25">
      <c r="A132" s="1" t="s">
        <v>604</v>
      </c>
      <c r="B132" s="41" t="s">
        <v>231</v>
      </c>
      <c r="C132" s="42">
        <v>20000</v>
      </c>
      <c r="D132" s="1" t="s">
        <v>680</v>
      </c>
      <c r="F132" s="52" t="s">
        <v>757</v>
      </c>
      <c r="G132" s="1" t="s">
        <v>484</v>
      </c>
      <c r="H132" s="22">
        <v>2</v>
      </c>
      <c r="I132" s="1" t="s">
        <v>553</v>
      </c>
      <c r="J132" s="1" t="s">
        <v>662</v>
      </c>
    </row>
    <row r="133" spans="1:12" x14ac:dyDescent="0.25">
      <c r="A133" s="1" t="s">
        <v>605</v>
      </c>
      <c r="B133" s="41" t="s">
        <v>232</v>
      </c>
      <c r="C133" s="42">
        <v>23000</v>
      </c>
      <c r="D133" s="1" t="s">
        <v>680</v>
      </c>
      <c r="F133" s="52" t="s">
        <v>757</v>
      </c>
      <c r="G133" s="1" t="s">
        <v>484</v>
      </c>
      <c r="H133" s="22">
        <v>2</v>
      </c>
      <c r="I133" s="1" t="s">
        <v>555</v>
      </c>
      <c r="J133" s="1" t="s">
        <v>661</v>
      </c>
    </row>
    <row r="134" spans="1:12" x14ac:dyDescent="0.25">
      <c r="A134" s="1" t="s">
        <v>606</v>
      </c>
      <c r="B134" s="41" t="s">
        <v>233</v>
      </c>
      <c r="C134" s="42">
        <v>17000</v>
      </c>
      <c r="D134" s="1" t="s">
        <v>680</v>
      </c>
      <c r="F134" s="52" t="s">
        <v>758</v>
      </c>
      <c r="G134" s="1" t="s">
        <v>485</v>
      </c>
      <c r="H134" s="1">
        <v>1</v>
      </c>
      <c r="I134" s="1" t="s">
        <v>595</v>
      </c>
      <c r="J134" s="1" t="s">
        <v>662</v>
      </c>
    </row>
    <row r="135" spans="1:12" x14ac:dyDescent="0.25">
      <c r="A135" s="1" t="s">
        <v>607</v>
      </c>
      <c r="B135" s="41" t="s">
        <v>234</v>
      </c>
      <c r="C135" s="42">
        <v>20000</v>
      </c>
      <c r="D135" s="1" t="s">
        <v>680</v>
      </c>
      <c r="F135" s="52" t="s">
        <v>758</v>
      </c>
      <c r="G135" s="1" t="s">
        <v>485</v>
      </c>
      <c r="H135" s="1">
        <v>1</v>
      </c>
      <c r="I135" s="1" t="s">
        <v>598</v>
      </c>
      <c r="J135" s="1" t="s">
        <v>662</v>
      </c>
    </row>
    <row r="136" spans="1:12" x14ac:dyDescent="0.25">
      <c r="A136" s="1" t="s">
        <v>608</v>
      </c>
      <c r="B136" s="41" t="s">
        <v>235</v>
      </c>
      <c r="C136" s="42">
        <v>23000</v>
      </c>
      <c r="D136" s="1" t="s">
        <v>680</v>
      </c>
      <c r="F136" s="52" t="s">
        <v>759</v>
      </c>
      <c r="G136" s="1" t="s">
        <v>486</v>
      </c>
      <c r="H136" s="1">
        <v>3</v>
      </c>
      <c r="I136" s="1" t="s">
        <v>623</v>
      </c>
      <c r="J136" s="1" t="s">
        <v>663</v>
      </c>
    </row>
    <row r="137" spans="1:12" x14ac:dyDescent="0.25">
      <c r="A137" s="1" t="s">
        <v>609</v>
      </c>
      <c r="B137" s="41" t="s">
        <v>236</v>
      </c>
      <c r="C137" s="42">
        <v>17000</v>
      </c>
      <c r="D137" s="1" t="s">
        <v>680</v>
      </c>
      <c r="F137" s="52" t="s">
        <v>760</v>
      </c>
      <c r="G137" s="1" t="s">
        <v>487</v>
      </c>
      <c r="H137" s="1">
        <v>2</v>
      </c>
      <c r="I137" s="1" t="s">
        <v>565</v>
      </c>
      <c r="J137" s="1" t="s">
        <v>662</v>
      </c>
    </row>
    <row r="138" spans="1:12" x14ac:dyDescent="0.25">
      <c r="A138" s="1" t="s">
        <v>610</v>
      </c>
      <c r="B138" s="41" t="s">
        <v>237</v>
      </c>
      <c r="C138" s="42">
        <v>20000</v>
      </c>
      <c r="D138" s="1" t="s">
        <v>680</v>
      </c>
      <c r="F138" s="52" t="s">
        <v>760</v>
      </c>
      <c r="G138" s="1" t="s">
        <v>487</v>
      </c>
      <c r="H138" s="1">
        <v>1</v>
      </c>
      <c r="I138" s="1" t="s">
        <v>567</v>
      </c>
      <c r="J138" s="1" t="s">
        <v>661</v>
      </c>
    </row>
    <row r="139" spans="1:12" x14ac:dyDescent="0.25">
      <c r="A139" s="1" t="s">
        <v>611</v>
      </c>
      <c r="B139" s="41" t="s">
        <v>238</v>
      </c>
      <c r="C139" s="42">
        <v>23000</v>
      </c>
      <c r="D139" s="1" t="s">
        <v>680</v>
      </c>
      <c r="F139" s="52" t="s">
        <v>761</v>
      </c>
      <c r="G139" s="1" t="s">
        <v>488</v>
      </c>
      <c r="H139" s="1">
        <v>1</v>
      </c>
      <c r="I139" s="1" t="s">
        <v>567</v>
      </c>
      <c r="J139" s="1" t="s">
        <v>661</v>
      </c>
    </row>
    <row r="140" spans="1:12" x14ac:dyDescent="0.25">
      <c r="A140" s="1" t="s">
        <v>612</v>
      </c>
      <c r="B140" s="41" t="s">
        <v>239</v>
      </c>
      <c r="C140" s="42">
        <v>15000</v>
      </c>
      <c r="D140" s="1" t="s">
        <v>677</v>
      </c>
      <c r="F140" s="52" t="s">
        <v>762</v>
      </c>
      <c r="G140" s="1" t="s">
        <v>489</v>
      </c>
      <c r="H140" s="1">
        <v>2</v>
      </c>
      <c r="I140" s="1" t="s">
        <v>572</v>
      </c>
      <c r="J140" s="1" t="s">
        <v>663</v>
      </c>
    </row>
    <row r="141" spans="1:12" x14ac:dyDescent="0.25">
      <c r="A141" s="1" t="s">
        <v>613</v>
      </c>
      <c r="B141" s="41" t="s">
        <v>241</v>
      </c>
      <c r="C141" s="42">
        <v>16000</v>
      </c>
      <c r="D141" s="1" t="s">
        <v>677</v>
      </c>
      <c r="F141" s="52" t="s">
        <v>762</v>
      </c>
      <c r="G141" s="1" t="s">
        <v>489</v>
      </c>
      <c r="H141" s="1">
        <v>3</v>
      </c>
      <c r="I141" s="1" t="s">
        <v>625</v>
      </c>
      <c r="J141" s="1" t="s">
        <v>662</v>
      </c>
    </row>
    <row r="142" spans="1:12" x14ac:dyDescent="0.25">
      <c r="A142" s="1" t="s">
        <v>614</v>
      </c>
      <c r="B142" s="41" t="s">
        <v>240</v>
      </c>
      <c r="C142" s="42">
        <v>17000</v>
      </c>
      <c r="D142" s="1" t="s">
        <v>677</v>
      </c>
      <c r="F142" s="52" t="s">
        <v>763</v>
      </c>
      <c r="G142" s="1" t="s">
        <v>490</v>
      </c>
      <c r="H142" s="1">
        <v>1</v>
      </c>
      <c r="I142" s="1" t="s">
        <v>574</v>
      </c>
      <c r="J142" s="1" t="s">
        <v>662</v>
      </c>
    </row>
    <row r="143" spans="1:12" x14ac:dyDescent="0.25">
      <c r="A143" s="1" t="s">
        <v>615</v>
      </c>
      <c r="B143" s="41" t="s">
        <v>242</v>
      </c>
      <c r="C143" s="42">
        <v>15000</v>
      </c>
      <c r="D143" s="1" t="s">
        <v>680</v>
      </c>
      <c r="F143" s="52" t="s">
        <v>764</v>
      </c>
      <c r="G143" s="1" t="s">
        <v>491</v>
      </c>
      <c r="H143" s="1">
        <v>3</v>
      </c>
      <c r="I143" s="1" t="s">
        <v>584</v>
      </c>
      <c r="J143" s="1" t="s">
        <v>663</v>
      </c>
    </row>
    <row r="144" spans="1:12" x14ac:dyDescent="0.25">
      <c r="A144" s="1" t="s">
        <v>616</v>
      </c>
      <c r="B144" s="41" t="s">
        <v>243</v>
      </c>
      <c r="C144" s="42">
        <v>16000</v>
      </c>
      <c r="D144" s="1" t="s">
        <v>680</v>
      </c>
      <c r="F144" s="52" t="s">
        <v>764</v>
      </c>
      <c r="G144" s="1" t="s">
        <v>491</v>
      </c>
      <c r="H144" s="1">
        <v>4</v>
      </c>
      <c r="I144" s="1" t="s">
        <v>530</v>
      </c>
      <c r="J144" s="1" t="s">
        <v>663</v>
      </c>
    </row>
    <row r="145" spans="1:10" x14ac:dyDescent="0.25">
      <c r="A145" s="1" t="s">
        <v>617</v>
      </c>
      <c r="B145" s="41" t="s">
        <v>244</v>
      </c>
      <c r="C145" s="42">
        <v>17000</v>
      </c>
      <c r="D145" s="1" t="s">
        <v>680</v>
      </c>
      <c r="F145" s="52" t="s">
        <v>765</v>
      </c>
      <c r="G145" s="1" t="s">
        <v>492</v>
      </c>
      <c r="H145" s="1">
        <v>2</v>
      </c>
      <c r="I145" s="1" t="s">
        <v>634</v>
      </c>
      <c r="J145" s="1" t="s">
        <v>662</v>
      </c>
    </row>
    <row r="146" spans="1:10" x14ac:dyDescent="0.25">
      <c r="A146" s="1" t="s">
        <v>618</v>
      </c>
      <c r="B146" s="41" t="s">
        <v>245</v>
      </c>
      <c r="C146" s="42">
        <v>15000</v>
      </c>
      <c r="D146" s="1" t="s">
        <v>685</v>
      </c>
      <c r="F146" s="52" t="s">
        <v>766</v>
      </c>
      <c r="G146" s="1" t="s">
        <v>493</v>
      </c>
      <c r="H146" s="1">
        <v>1</v>
      </c>
      <c r="I146" s="1" t="s">
        <v>620</v>
      </c>
      <c r="J146" s="1" t="s">
        <v>663</v>
      </c>
    </row>
    <row r="147" spans="1:10" x14ac:dyDescent="0.25">
      <c r="A147" s="1" t="s">
        <v>619</v>
      </c>
      <c r="B147" s="41" t="s">
        <v>246</v>
      </c>
      <c r="C147" s="42">
        <v>17000</v>
      </c>
      <c r="D147" s="1" t="s">
        <v>685</v>
      </c>
      <c r="F147" s="52" t="s">
        <v>767</v>
      </c>
      <c r="G147" s="1" t="s">
        <v>494</v>
      </c>
      <c r="H147" s="1">
        <v>2</v>
      </c>
      <c r="I147" s="1" t="s">
        <v>616</v>
      </c>
      <c r="J147" s="1" t="s">
        <v>662</v>
      </c>
    </row>
    <row r="148" spans="1:10" x14ac:dyDescent="0.25">
      <c r="A148" s="1" t="s">
        <v>620</v>
      </c>
      <c r="B148" s="41" t="s">
        <v>247</v>
      </c>
      <c r="C148" s="42">
        <v>18000</v>
      </c>
      <c r="D148" s="1" t="s">
        <v>685</v>
      </c>
      <c r="F148" s="52" t="s">
        <v>768</v>
      </c>
      <c r="G148" s="1" t="s">
        <v>495</v>
      </c>
      <c r="H148" s="1">
        <v>1</v>
      </c>
      <c r="I148" s="1" t="s">
        <v>572</v>
      </c>
      <c r="J148" s="1" t="s">
        <v>663</v>
      </c>
    </row>
    <row r="149" spans="1:10" x14ac:dyDescent="0.25">
      <c r="A149" s="1" t="s">
        <v>621</v>
      </c>
      <c r="B149" s="41" t="s">
        <v>248</v>
      </c>
      <c r="C149" s="42">
        <v>15000</v>
      </c>
      <c r="D149" s="1" t="s">
        <v>682</v>
      </c>
      <c r="F149" s="52" t="s">
        <v>769</v>
      </c>
      <c r="G149" s="1" t="s">
        <v>496</v>
      </c>
      <c r="H149" s="1">
        <v>2</v>
      </c>
      <c r="I149" s="1" t="s">
        <v>534</v>
      </c>
      <c r="J149" s="1" t="s">
        <v>661</v>
      </c>
    </row>
    <row r="150" spans="1:10" x14ac:dyDescent="0.25">
      <c r="A150" s="1" t="s">
        <v>622</v>
      </c>
      <c r="B150" s="41" t="s">
        <v>249</v>
      </c>
      <c r="C150" s="42">
        <v>20000</v>
      </c>
      <c r="D150" s="1" t="s">
        <v>682</v>
      </c>
      <c r="F150" s="52" t="s">
        <v>770</v>
      </c>
      <c r="G150" s="1" t="s">
        <v>497</v>
      </c>
      <c r="H150" s="1">
        <v>2</v>
      </c>
      <c r="I150" s="1" t="s">
        <v>605</v>
      </c>
      <c r="J150" s="1" t="s">
        <v>663</v>
      </c>
    </row>
    <row r="151" spans="1:10" x14ac:dyDescent="0.25">
      <c r="A151" s="1" t="s">
        <v>623</v>
      </c>
      <c r="B151" s="41" t="s">
        <v>250</v>
      </c>
      <c r="C151" s="42">
        <v>25000</v>
      </c>
      <c r="D151" s="1" t="s">
        <v>682</v>
      </c>
      <c r="F151" s="52" t="s">
        <v>771</v>
      </c>
      <c r="G151" s="1" t="s">
        <v>498</v>
      </c>
      <c r="H151" s="1">
        <v>1</v>
      </c>
      <c r="I151" s="1" t="s">
        <v>589</v>
      </c>
      <c r="J151" s="1" t="s">
        <v>662</v>
      </c>
    </row>
    <row r="152" spans="1:10" x14ac:dyDescent="0.25">
      <c r="A152" s="1" t="s">
        <v>624</v>
      </c>
      <c r="B152" s="41" t="s">
        <v>251</v>
      </c>
      <c r="C152" s="42">
        <v>15000</v>
      </c>
      <c r="D152" s="1" t="s">
        <v>682</v>
      </c>
      <c r="F152" s="52" t="s">
        <v>772</v>
      </c>
      <c r="G152" s="1" t="s">
        <v>499</v>
      </c>
      <c r="H152" s="1">
        <v>3</v>
      </c>
      <c r="I152" s="1" t="s">
        <v>527</v>
      </c>
      <c r="J152" s="1" t="s">
        <v>663</v>
      </c>
    </row>
    <row r="153" spans="1:10" x14ac:dyDescent="0.25">
      <c r="A153" s="1" t="s">
        <v>625</v>
      </c>
      <c r="B153" s="41" t="s">
        <v>252</v>
      </c>
      <c r="C153" s="42">
        <v>20000</v>
      </c>
      <c r="D153" s="1" t="s">
        <v>682</v>
      </c>
      <c r="F153" s="52" t="s">
        <v>773</v>
      </c>
      <c r="G153" s="1" t="s">
        <v>500</v>
      </c>
      <c r="H153" s="22">
        <v>2</v>
      </c>
      <c r="I153" s="1" t="s">
        <v>554</v>
      </c>
      <c r="J153" s="1" t="s">
        <v>663</v>
      </c>
    </row>
    <row r="154" spans="1:10" x14ac:dyDescent="0.25">
      <c r="A154" s="1" t="s">
        <v>626</v>
      </c>
      <c r="B154" s="41" t="s">
        <v>253</v>
      </c>
      <c r="C154" s="42">
        <v>25000</v>
      </c>
      <c r="D154" s="1" t="s">
        <v>682</v>
      </c>
      <c r="F154" s="52" t="s">
        <v>773</v>
      </c>
      <c r="G154" s="1" t="s">
        <v>500</v>
      </c>
      <c r="H154" s="22">
        <v>3</v>
      </c>
      <c r="I154" s="1" t="s">
        <v>548</v>
      </c>
      <c r="J154" s="1" t="s">
        <v>662</v>
      </c>
    </row>
    <row r="155" spans="1:10" x14ac:dyDescent="0.25">
      <c r="A155" s="1" t="s">
        <v>627</v>
      </c>
      <c r="B155" s="41" t="s">
        <v>254</v>
      </c>
      <c r="C155" s="42">
        <v>15000</v>
      </c>
      <c r="D155" s="1" t="s">
        <v>682</v>
      </c>
      <c r="F155" s="52" t="s">
        <v>773</v>
      </c>
      <c r="G155" s="1" t="s">
        <v>500</v>
      </c>
      <c r="H155" s="22">
        <v>4</v>
      </c>
      <c r="I155" s="1" t="s">
        <v>634</v>
      </c>
      <c r="J155" s="1" t="s">
        <v>662</v>
      </c>
    </row>
    <row r="156" spans="1:10" x14ac:dyDescent="0.25">
      <c r="A156" s="1" t="s">
        <v>628</v>
      </c>
      <c r="B156" s="41" t="s">
        <v>255</v>
      </c>
      <c r="C156" s="42">
        <v>20000</v>
      </c>
      <c r="D156" s="1" t="s">
        <v>682</v>
      </c>
      <c r="F156" s="52" t="s">
        <v>773</v>
      </c>
      <c r="G156" s="1" t="s">
        <v>500</v>
      </c>
      <c r="H156" s="22">
        <v>7</v>
      </c>
      <c r="I156" s="1" t="s">
        <v>630</v>
      </c>
      <c r="J156" s="1" t="s">
        <v>661</v>
      </c>
    </row>
    <row r="157" spans="1:10" x14ac:dyDescent="0.25">
      <c r="A157" s="1" t="s">
        <v>629</v>
      </c>
      <c r="B157" s="41" t="s">
        <v>256</v>
      </c>
      <c r="C157" s="42">
        <v>25000</v>
      </c>
      <c r="D157" s="1" t="s">
        <v>682</v>
      </c>
      <c r="F157" s="52" t="s">
        <v>773</v>
      </c>
      <c r="G157" s="1" t="s">
        <v>500</v>
      </c>
      <c r="H157" s="22">
        <v>1</v>
      </c>
      <c r="I157" s="1" t="s">
        <v>528</v>
      </c>
      <c r="J157" s="1" t="s">
        <v>661</v>
      </c>
    </row>
    <row r="158" spans="1:10" x14ac:dyDescent="0.25">
      <c r="A158" s="1" t="s">
        <v>630</v>
      </c>
      <c r="B158" s="41" t="s">
        <v>257</v>
      </c>
      <c r="C158" s="42">
        <v>15000</v>
      </c>
      <c r="D158" s="1" t="s">
        <v>682</v>
      </c>
      <c r="F158" s="52" t="s">
        <v>774</v>
      </c>
      <c r="G158" s="1" t="s">
        <v>501</v>
      </c>
      <c r="H158" s="1">
        <v>1</v>
      </c>
      <c r="I158" s="1" t="s">
        <v>541</v>
      </c>
      <c r="J158" s="1" t="s">
        <v>662</v>
      </c>
    </row>
    <row r="159" spans="1:10" x14ac:dyDescent="0.25">
      <c r="A159" s="1" t="s">
        <v>631</v>
      </c>
      <c r="B159" s="41" t="s">
        <v>258</v>
      </c>
      <c r="C159" s="42">
        <v>20000</v>
      </c>
      <c r="D159" s="1" t="s">
        <v>682</v>
      </c>
      <c r="F159" s="52" t="s">
        <v>775</v>
      </c>
      <c r="G159" s="1" t="s">
        <v>502</v>
      </c>
      <c r="H159" s="1">
        <v>2</v>
      </c>
      <c r="I159" s="1" t="s">
        <v>557</v>
      </c>
      <c r="J159" s="1" t="s">
        <v>663</v>
      </c>
    </row>
    <row r="160" spans="1:10" x14ac:dyDescent="0.25">
      <c r="A160" s="1" t="s">
        <v>632</v>
      </c>
      <c r="B160" s="41" t="s">
        <v>259</v>
      </c>
      <c r="C160" s="42">
        <v>25000</v>
      </c>
      <c r="D160" s="1" t="s">
        <v>682</v>
      </c>
      <c r="F160" s="52" t="s">
        <v>776</v>
      </c>
      <c r="G160" s="1" t="s">
        <v>503</v>
      </c>
      <c r="H160" s="1">
        <v>1</v>
      </c>
      <c r="I160" s="1" t="s">
        <v>628</v>
      </c>
      <c r="J160" s="1" t="s">
        <v>662</v>
      </c>
    </row>
    <row r="161" spans="1:10" x14ac:dyDescent="0.25">
      <c r="A161" s="1" t="s">
        <v>633</v>
      </c>
      <c r="B161" s="41" t="s">
        <v>260</v>
      </c>
      <c r="C161" s="42">
        <v>11000</v>
      </c>
      <c r="D161" s="1" t="s">
        <v>685</v>
      </c>
      <c r="F161" s="52" t="s">
        <v>776</v>
      </c>
      <c r="G161" s="1" t="s">
        <v>503</v>
      </c>
      <c r="H161" s="1">
        <v>3</v>
      </c>
      <c r="I161" s="1" t="s">
        <v>625</v>
      </c>
      <c r="J161" s="1" t="s">
        <v>662</v>
      </c>
    </row>
    <row r="162" spans="1:10" x14ac:dyDescent="0.25">
      <c r="A162" s="1" t="s">
        <v>634</v>
      </c>
      <c r="B162" s="41" t="s">
        <v>261</v>
      </c>
      <c r="C162" s="42">
        <v>14000</v>
      </c>
      <c r="D162" s="1" t="s">
        <v>685</v>
      </c>
      <c r="F162" s="52" t="s">
        <v>777</v>
      </c>
      <c r="G162" s="1" t="s">
        <v>504</v>
      </c>
      <c r="H162" s="1">
        <v>3</v>
      </c>
      <c r="I162" s="1" t="s">
        <v>566</v>
      </c>
      <c r="J162" s="1" t="s">
        <v>663</v>
      </c>
    </row>
    <row r="163" spans="1:10" x14ac:dyDescent="0.25">
      <c r="A163" s="1" t="s">
        <v>635</v>
      </c>
      <c r="B163" s="41" t="s">
        <v>262</v>
      </c>
      <c r="C163" s="43">
        <v>16000</v>
      </c>
      <c r="D163" s="1" t="s">
        <v>685</v>
      </c>
      <c r="F163" s="52" t="s">
        <v>778</v>
      </c>
      <c r="G163" s="1" t="s">
        <v>505</v>
      </c>
      <c r="H163" s="1">
        <v>2</v>
      </c>
      <c r="I163" s="1" t="s">
        <v>575</v>
      </c>
      <c r="J163" s="1" t="s">
        <v>663</v>
      </c>
    </row>
    <row r="164" spans="1:10" x14ac:dyDescent="0.25">
      <c r="F164" s="52" t="s">
        <v>779</v>
      </c>
      <c r="G164" s="1" t="s">
        <v>506</v>
      </c>
      <c r="H164" s="1">
        <v>1</v>
      </c>
      <c r="I164" s="1" t="s">
        <v>583</v>
      </c>
      <c r="J164" s="1" t="s">
        <v>662</v>
      </c>
    </row>
    <row r="165" spans="1:10" x14ac:dyDescent="0.25">
      <c r="F165" s="52" t="s">
        <v>779</v>
      </c>
      <c r="G165" s="1" t="s">
        <v>506</v>
      </c>
      <c r="H165" s="1">
        <v>1</v>
      </c>
      <c r="I165" s="1" t="s">
        <v>576</v>
      </c>
      <c r="J165" s="1" t="s">
        <v>661</v>
      </c>
    </row>
    <row r="166" spans="1:10" x14ac:dyDescent="0.25">
      <c r="F166" s="52" t="s">
        <v>780</v>
      </c>
      <c r="G166" s="1" t="s">
        <v>507</v>
      </c>
      <c r="H166" s="1">
        <v>2</v>
      </c>
      <c r="I166" s="1" t="s">
        <v>620</v>
      </c>
      <c r="J166" s="1" t="s">
        <v>663</v>
      </c>
    </row>
    <row r="167" spans="1:10" x14ac:dyDescent="0.25">
      <c r="F167" s="52" t="s">
        <v>780</v>
      </c>
      <c r="G167" s="1" t="s">
        <v>507</v>
      </c>
      <c r="H167" s="1">
        <v>1</v>
      </c>
      <c r="I167" s="1" t="s">
        <v>635</v>
      </c>
      <c r="J167" s="1" t="s">
        <v>663</v>
      </c>
    </row>
    <row r="168" spans="1:10" x14ac:dyDescent="0.25">
      <c r="F168" s="52" t="s">
        <v>781</v>
      </c>
      <c r="G168" s="1" t="s">
        <v>508</v>
      </c>
      <c r="H168" s="1">
        <v>1</v>
      </c>
      <c r="I168" s="1" t="s">
        <v>533</v>
      </c>
      <c r="J168" s="1" t="s">
        <v>663</v>
      </c>
    </row>
    <row r="169" spans="1:10" x14ac:dyDescent="0.25">
      <c r="F169" s="51"/>
      <c r="G169" s="51"/>
      <c r="H169" s="51"/>
    </row>
    <row r="170" spans="1:10" x14ac:dyDescent="0.25">
      <c r="F170" s="51"/>
      <c r="G170" s="51"/>
      <c r="H170" s="51"/>
    </row>
    <row r="171" spans="1:10" x14ac:dyDescent="0.25">
      <c r="F171" s="51"/>
      <c r="G171" s="51"/>
      <c r="H171" s="51"/>
    </row>
    <row r="172" spans="1:10" x14ac:dyDescent="0.25">
      <c r="F172" s="51"/>
      <c r="G172" s="51"/>
      <c r="H172" s="51"/>
    </row>
    <row r="173" spans="1:10" x14ac:dyDescent="0.25">
      <c r="F173" s="51"/>
      <c r="G173" s="51"/>
      <c r="H173" s="51"/>
    </row>
    <row r="174" spans="1:10" x14ac:dyDescent="0.25">
      <c r="F174" s="51"/>
      <c r="G174" s="51"/>
      <c r="H174" s="51"/>
    </row>
    <row r="175" spans="1:10" x14ac:dyDescent="0.25">
      <c r="F175" s="51"/>
      <c r="G175" s="51"/>
      <c r="H175" s="51"/>
    </row>
    <row r="176" spans="1:10" x14ac:dyDescent="0.25">
      <c r="F176" s="51"/>
      <c r="G176" s="51"/>
      <c r="H176" s="51"/>
    </row>
    <row r="177" spans="6:8" x14ac:dyDescent="0.25">
      <c r="F177" s="51"/>
      <c r="G177" s="51"/>
      <c r="H177" s="51"/>
    </row>
    <row r="178" spans="6:8" x14ac:dyDescent="0.25">
      <c r="F178" s="51"/>
      <c r="G178" s="51"/>
      <c r="H178" s="51"/>
    </row>
    <row r="179" spans="6:8" x14ac:dyDescent="0.25">
      <c r="F179" s="51"/>
      <c r="G179" s="51"/>
      <c r="H179" s="51"/>
    </row>
    <row r="180" spans="6:8" x14ac:dyDescent="0.25">
      <c r="F180" s="51"/>
      <c r="G180" s="51"/>
      <c r="H180" s="51"/>
    </row>
    <row r="181" spans="6:8" x14ac:dyDescent="0.25">
      <c r="F181" s="51"/>
      <c r="G181" s="51"/>
      <c r="H181" s="51"/>
    </row>
    <row r="182" spans="6:8" x14ac:dyDescent="0.25">
      <c r="F182" s="51"/>
      <c r="G182" s="51"/>
      <c r="H182" s="51"/>
    </row>
    <row r="183" spans="6:8" x14ac:dyDescent="0.25">
      <c r="F183" s="51"/>
      <c r="G183" s="51"/>
      <c r="H183" s="51"/>
    </row>
    <row r="184" spans="6:8" x14ac:dyDescent="0.25">
      <c r="F184" s="51"/>
      <c r="G184" s="51"/>
      <c r="H184" s="51"/>
    </row>
    <row r="185" spans="6:8" x14ac:dyDescent="0.25">
      <c r="F185" s="51"/>
      <c r="G185" s="51"/>
      <c r="H185" s="51"/>
    </row>
    <row r="186" spans="6:8" x14ac:dyDescent="0.25">
      <c r="F186" s="51"/>
      <c r="G186" s="51"/>
      <c r="H186" s="51"/>
    </row>
    <row r="187" spans="6:8" x14ac:dyDescent="0.25">
      <c r="F187" s="51"/>
      <c r="G187" s="51"/>
      <c r="H187" s="51"/>
    </row>
    <row r="188" spans="6:8" x14ac:dyDescent="0.25">
      <c r="F188" s="51"/>
      <c r="G188" s="51"/>
      <c r="H188" s="51"/>
    </row>
    <row r="189" spans="6:8" x14ac:dyDescent="0.25">
      <c r="F189" s="51"/>
      <c r="G189" s="51"/>
      <c r="H189" s="51"/>
    </row>
    <row r="190" spans="6:8" x14ac:dyDescent="0.25">
      <c r="F190" s="51"/>
      <c r="G190" s="51"/>
      <c r="H190" s="51"/>
    </row>
    <row r="191" spans="6:8" x14ac:dyDescent="0.25">
      <c r="F191" s="51"/>
      <c r="G191" s="51"/>
      <c r="H191" s="51"/>
    </row>
    <row r="192" spans="6:8" x14ac:dyDescent="0.25">
      <c r="F192" s="51"/>
      <c r="G192" s="51"/>
      <c r="H192" s="51"/>
    </row>
    <row r="193" spans="6:8" x14ac:dyDescent="0.25">
      <c r="F193" s="51"/>
      <c r="G193" s="51"/>
      <c r="H193" s="51"/>
    </row>
    <row r="194" spans="6:8" x14ac:dyDescent="0.25">
      <c r="F194" s="51"/>
      <c r="G194" s="51"/>
      <c r="H194" s="51"/>
    </row>
    <row r="195" spans="6:8" x14ac:dyDescent="0.25">
      <c r="F195" s="51"/>
      <c r="G195" s="51"/>
      <c r="H195" s="51"/>
    </row>
    <row r="196" spans="6:8" x14ac:dyDescent="0.25">
      <c r="F196" s="51"/>
      <c r="G196" s="51"/>
      <c r="H196" s="51"/>
    </row>
    <row r="197" spans="6:8" x14ac:dyDescent="0.25">
      <c r="F197" s="51"/>
      <c r="G197" s="51"/>
      <c r="H197" s="51"/>
    </row>
    <row r="198" spans="6:8" x14ac:dyDescent="0.25">
      <c r="F198" s="51"/>
      <c r="G198" s="51"/>
      <c r="H198" s="51"/>
    </row>
    <row r="199" spans="6:8" x14ac:dyDescent="0.25">
      <c r="F199" s="51"/>
      <c r="G199" s="51"/>
      <c r="H199" s="51"/>
    </row>
    <row r="200" spans="6:8" x14ac:dyDescent="0.25">
      <c r="F200" s="51"/>
      <c r="G200" s="51"/>
      <c r="H200" s="51"/>
    </row>
    <row r="201" spans="6:8" x14ac:dyDescent="0.25">
      <c r="F201" s="51"/>
      <c r="G201" s="51"/>
      <c r="H201" s="51"/>
    </row>
    <row r="202" spans="6:8" x14ac:dyDescent="0.25">
      <c r="F202" s="51"/>
      <c r="G202" s="51"/>
      <c r="H202" s="51"/>
    </row>
    <row r="203" spans="6:8" x14ac:dyDescent="0.25">
      <c r="F203" s="51"/>
      <c r="G203" s="51"/>
      <c r="H203" s="51"/>
    </row>
    <row r="204" spans="6:8" x14ac:dyDescent="0.25">
      <c r="F204" s="51"/>
      <c r="G204" s="51"/>
      <c r="H204" s="51"/>
    </row>
    <row r="205" spans="6:8" x14ac:dyDescent="0.25">
      <c r="F205" s="51"/>
      <c r="G205" s="51"/>
      <c r="H205" s="51"/>
    </row>
    <row r="206" spans="6:8" x14ac:dyDescent="0.25">
      <c r="F206" s="51"/>
      <c r="G206" s="51"/>
      <c r="H206" s="51"/>
    </row>
    <row r="207" spans="6:8" x14ac:dyDescent="0.25">
      <c r="F207" s="51"/>
      <c r="G207" s="51"/>
      <c r="H207" s="51"/>
    </row>
    <row r="208" spans="6:8" x14ac:dyDescent="0.25">
      <c r="F208" s="51"/>
      <c r="G208" s="51"/>
      <c r="H208" s="51"/>
    </row>
    <row r="209" spans="6:8" x14ac:dyDescent="0.25">
      <c r="F209" s="51"/>
      <c r="G209" s="51"/>
      <c r="H209" s="51"/>
    </row>
    <row r="210" spans="6:8" x14ac:dyDescent="0.25">
      <c r="F210" s="51"/>
      <c r="G210" s="51"/>
      <c r="H210" s="51"/>
    </row>
    <row r="211" spans="6:8" x14ac:dyDescent="0.25">
      <c r="F211" s="51"/>
      <c r="G211" s="51"/>
      <c r="H211" s="51"/>
    </row>
    <row r="212" spans="6:8" x14ac:dyDescent="0.25">
      <c r="F212" s="51"/>
      <c r="G212" s="51"/>
      <c r="H212" s="51"/>
    </row>
    <row r="213" spans="6:8" x14ac:dyDescent="0.25">
      <c r="F213" s="51"/>
      <c r="G213" s="51"/>
      <c r="H213" s="51"/>
    </row>
    <row r="214" spans="6:8" x14ac:dyDescent="0.25">
      <c r="F214" s="51"/>
      <c r="G214" s="51"/>
      <c r="H214" s="51"/>
    </row>
  </sheetData>
  <mergeCells count="15">
    <mergeCell ref="R44:S44"/>
    <mergeCell ref="F51:G51"/>
    <mergeCell ref="A51:D51"/>
    <mergeCell ref="F66:G66"/>
    <mergeCell ref="L38:N38"/>
    <mergeCell ref="L39:M39"/>
    <mergeCell ref="O39:P39"/>
    <mergeCell ref="R39:S39"/>
    <mergeCell ref="F77:G77"/>
    <mergeCell ref="A2:J2"/>
    <mergeCell ref="F87:J87"/>
    <mergeCell ref="F121:J121"/>
    <mergeCell ref="J66:P66"/>
    <mergeCell ref="N44:P44"/>
    <mergeCell ref="L2:U2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C8B6BD-9673-484E-9AF0-BD646BC6E3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Principal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Gamez</dc:creator>
  <cp:lastModifiedBy>Miguel Angel Gamez</cp:lastModifiedBy>
  <dcterms:created xsi:type="dcterms:W3CDTF">2026-09-18T01:30:54Z</dcterms:created>
  <dcterms:modified xsi:type="dcterms:W3CDTF">2026-09-23T12:02:49Z</dcterms:modified>
</cp:coreProperties>
</file>